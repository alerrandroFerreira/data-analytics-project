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91c9beb8b690f66/Documentos/GitHub/data-analytics-project/input/"/>
    </mc:Choice>
  </mc:AlternateContent>
  <xr:revisionPtr revIDLastSave="66" documentId="8_{AE4C8A09-504D-47EB-836E-3E254FA55B7A}" xr6:coauthVersionLast="47" xr6:coauthVersionMax="47" xr10:uidLastSave="{70ABFEEA-A83D-4F60-85CA-B799FAA5746D}"/>
  <bookViews>
    <workbookView xWindow="11424" yWindow="0" windowWidth="11712" windowHeight="13056" xr2:uid="{00000000-000D-0000-FFFF-FFFF00000000}"/>
  </bookViews>
  <sheets>
    <sheet name="Sheet1" sheetId="3" r:id="rId1"/>
    <sheet name="DATOS" sheetId="1" r:id="rId2"/>
    <sheet name="TD" sheetId="2" r:id="rId3"/>
  </sheets>
  <definedNames>
    <definedName name="_xlnm._FilterDatabase" localSheetId="1" hidden="1">DATOS!$A$1:$J$307</definedName>
    <definedName name="_xlcn.WorksheetConnection_tablasdinamicas.xlsxTabla11" hidden="1">DATOS!$A$1:$J$307</definedName>
    <definedName name="Ventas">DATOS!$E$1:$I$307</definedName>
  </definedNames>
  <calcPr calcId="191028"/>
  <pivotCaches>
    <pivotCache cacheId="3" r:id="rId4"/>
    <pivotCache cacheId="1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tablas dinamicas.xlsx!Tabla1"/>
        </x15:modelTables>
        <x15:extLst>
          <ext xmlns:x16="http://schemas.microsoft.com/office/spreadsheetml/2014/11/main" uri="{9835A34E-60A6-4A7C-AAB8-D5F71C897F49}">
            <x16:modelTimeGroupings>
              <x16:modelTimeGrouping tableName="Tabla1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0" i="1" l="1"/>
  <c r="J118" i="1"/>
  <c r="J117" i="1"/>
  <c r="J116" i="1"/>
  <c r="J115" i="1"/>
  <c r="J114" i="1"/>
  <c r="J113" i="1"/>
  <c r="J112" i="1"/>
  <c r="J111" i="1"/>
  <c r="J110" i="1"/>
  <c r="J109" i="1"/>
  <c r="J300" i="1"/>
  <c r="J200" i="1"/>
  <c r="J10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1" i="1"/>
  <c r="J102" i="1"/>
  <c r="J103" i="1"/>
  <c r="J104" i="1"/>
  <c r="J105" i="1"/>
  <c r="J106" i="1"/>
  <c r="J107" i="1"/>
  <c r="J10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1" i="1"/>
  <c r="J202" i="1"/>
  <c r="J203" i="1"/>
  <c r="J204" i="1"/>
  <c r="J205" i="1"/>
  <c r="J206" i="1"/>
  <c r="J207" i="1"/>
  <c r="J208" i="1"/>
  <c r="J209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1" i="1"/>
  <c r="J302" i="1"/>
  <c r="J303" i="1"/>
  <c r="J304" i="1"/>
  <c r="J305" i="1"/>
  <c r="J306" i="1"/>
  <c r="J307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948CDE-357C-4D73-A887-CAF3628D523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2F77D5B-D7F3-4189-A647-3779606FFE3D}" name="WorksheetConnection_tablas dinamicas.xlsx!Tabla1" type="102" refreshedVersion="7" minRefreshableVersion="5">
    <extLst>
      <ext xmlns:x15="http://schemas.microsoft.com/office/spreadsheetml/2010/11/main" uri="{DE250136-89BD-433C-8126-D09CA5730AF9}">
        <x15:connection id="Tabla1">
          <x15:rangePr sourceName="_xlcn.WorksheetConnection_tablasdinamicas.xlsxTabla11"/>
        </x15:connection>
      </ext>
    </extLst>
  </connection>
</connections>
</file>

<file path=xl/sharedStrings.xml><?xml version="1.0" encoding="utf-8"?>
<sst xmlns="http://schemas.openxmlformats.org/spreadsheetml/2006/main" count="1892" uniqueCount="100">
  <si>
    <t>Año</t>
  </si>
  <si>
    <t>Provincia</t>
  </si>
  <si>
    <t>Centro</t>
  </si>
  <si>
    <t>Producto</t>
  </si>
  <si>
    <t>Cantidad</t>
  </si>
  <si>
    <t>Precio</t>
  </si>
  <si>
    <t>Total</t>
  </si>
  <si>
    <t>Granada</t>
  </si>
  <si>
    <t>C.C. Nervion</t>
  </si>
  <si>
    <t>Aspiradora</t>
  </si>
  <si>
    <t>Madrid</t>
  </si>
  <si>
    <t>Metromar</t>
  </si>
  <si>
    <t>Frigorifico</t>
  </si>
  <si>
    <t>Toledo</t>
  </si>
  <si>
    <t>El corte ingles</t>
  </si>
  <si>
    <t>Home Cinema</t>
  </si>
  <si>
    <t>Sevilla</t>
  </si>
  <si>
    <t>Supermercados MAS</t>
  </si>
  <si>
    <t>Zaragoza</t>
  </si>
  <si>
    <t>Jaen</t>
  </si>
  <si>
    <t>Huelva</t>
  </si>
  <si>
    <t>Albacete</t>
  </si>
  <si>
    <t>Carrefour</t>
  </si>
  <si>
    <t>TV 32 pulgadas</t>
  </si>
  <si>
    <t>Lerida</t>
  </si>
  <si>
    <t>Cordoba</t>
  </si>
  <si>
    <t>Murcia</t>
  </si>
  <si>
    <t>Malaga</t>
  </si>
  <si>
    <t>Asturias</t>
  </si>
  <si>
    <t>Leon</t>
  </si>
  <si>
    <t>C.C. Vicar</t>
  </si>
  <si>
    <t>Lavadora 8 Kg</t>
  </si>
  <si>
    <t>Cadiz</t>
  </si>
  <si>
    <t>Tarragona</t>
  </si>
  <si>
    <t>Caceres</t>
  </si>
  <si>
    <t>Valladolid</t>
  </si>
  <si>
    <t>Almeria</t>
  </si>
  <si>
    <t>Badajoz</t>
  </si>
  <si>
    <t>Etiquetas de fila</t>
  </si>
  <si>
    <t>Dia</t>
  </si>
  <si>
    <t>Etiquetas de columna</t>
  </si>
  <si>
    <t>lunes</t>
  </si>
  <si>
    <t>martes</t>
  </si>
  <si>
    <t>miércoles</t>
  </si>
  <si>
    <t>jueves</t>
  </si>
  <si>
    <t>viernes</t>
  </si>
  <si>
    <t>sábado</t>
  </si>
  <si>
    <t>domingo</t>
  </si>
  <si>
    <t>011</t>
  </si>
  <si>
    <t>01</t>
  </si>
  <si>
    <t>016</t>
  </si>
  <si>
    <t>012</t>
  </si>
  <si>
    <t>014</t>
  </si>
  <si>
    <t>Cuenta de Total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</si>
  <si>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</si>
  <si>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</si>
  <si>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</si>
  <si>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</si>
  <si>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</si>
  <si>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</si>
  <si>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</si>
  <si>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</si>
  <si>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</si>
  <si>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</si>
  <si>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</si>
  <si>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diciembre</t>
  </si>
  <si>
    <t>Dia semana</t>
  </si>
  <si>
    <t>03</t>
  </si>
  <si>
    <t>05</t>
  </si>
  <si>
    <t>07</t>
  </si>
  <si>
    <t>12</t>
  </si>
  <si>
    <t>14</t>
  </si>
  <si>
    <t>16</t>
  </si>
  <si>
    <t>17</t>
  </si>
  <si>
    <t>18</t>
  </si>
  <si>
    <t>21</t>
  </si>
  <si>
    <t>22</t>
  </si>
  <si>
    <t>24</t>
  </si>
  <si>
    <t>25</t>
  </si>
  <si>
    <t>28</t>
  </si>
  <si>
    <t>29</t>
  </si>
  <si>
    <t>04</t>
  </si>
  <si>
    <t>08</t>
  </si>
  <si>
    <t>09</t>
  </si>
  <si>
    <t>10</t>
  </si>
  <si>
    <t>13</t>
  </si>
  <si>
    <t>19</t>
  </si>
  <si>
    <t>20</t>
  </si>
  <si>
    <t>26</t>
  </si>
  <si>
    <t>27</t>
  </si>
  <si>
    <t>30</t>
  </si>
  <si>
    <t>02</t>
  </si>
  <si>
    <t>06</t>
  </si>
  <si>
    <t>23</t>
  </si>
  <si>
    <t>31</t>
  </si>
  <si>
    <t>15</t>
  </si>
  <si>
    <t>Row Labels</t>
  </si>
  <si>
    <t>Grand Total</t>
  </si>
  <si>
    <t>Sum of Cantidad</t>
  </si>
  <si>
    <t>Sum of Cantidad2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</si>
</sst>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theme="0"/>
      </font>
      <fill>
        <patternFill>
          <bgColor theme="8" tint="-0.499984740745262"/>
        </patternFill>
      </fill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Light16">
    <tableStyle name="Estilo de escala de tiempo 1" pivot="0" table="0" count="8" xr9:uid="{CBAA518E-D8E0-4130-8031-019DCC8C1F16}">
      <tableStyleElement type="wholeTable" dxfId="14"/>
      <tableStyleElement type="headerRow" dxfId="13"/>
    </tableStyle>
    <tableStyle name="Estilo de tabla dinámica 1" table="0" count="1" xr9:uid="{ACEA3960-19FA-4BAE-8187-D5A2B7B6C919}"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9" tint="-0.499984740745262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Ángel Franco García" refreshedDate="44755.747790740737" createdVersion="8" refreshedVersion="8" minRefreshableVersion="3" recordCount="306" xr:uid="{AE90E2C8-20D9-4749-90BE-AE4DC666CE6F}">
  <cacheSource type="worksheet">
    <worksheetSource ref="A1:J307" sheet="DATOS"/>
  </cacheSource>
  <cacheFields count="10">
    <cacheField name="Año" numFmtId="0">
      <sharedItems containsSemiMixedTypes="0" containsString="0" containsNumber="1" containsInteger="1" minValue="2021" maxValue="2021"/>
    </cacheField>
    <cacheField name="Mes" numFmtId="14">
      <sharedItems count="11">
        <s v="marzo"/>
        <s v="febrero"/>
        <s v="abril"/>
        <s v="mayo"/>
        <s v="junio"/>
        <s v="julio"/>
        <s v="agosto"/>
        <s v="septiembre"/>
        <s v="octubre"/>
        <s v="enero"/>
        <s v="diciembre"/>
      </sharedItems>
    </cacheField>
    <cacheField name="Dia semana" numFmtId="0">
      <sharedItems count="8">
        <s v="miércoles"/>
        <s v="viernes"/>
        <s v="domingo"/>
        <s v="lunes"/>
        <s v="martes"/>
        <s v="jueves"/>
        <s v="sábado"/>
        <s v="Fecha" u="1"/>
      </sharedItems>
    </cacheField>
    <cacheField name="Dia" numFmtId="0">
      <sharedItems/>
    </cacheField>
    <cacheField name="Provincia" numFmtId="0">
      <sharedItems/>
    </cacheField>
    <cacheField name="Centro" numFmtId="0">
      <sharedItems/>
    </cacheField>
    <cacheField name="Producto" numFmtId="0">
      <sharedItems/>
    </cacheField>
    <cacheField name="Cantidad" numFmtId="1">
      <sharedItems containsMixedTypes="1" containsNumber="1" minValue="1" maxValue="295"/>
    </cacheField>
    <cacheField name="Precio" numFmtId="1">
      <sharedItems containsSemiMixedTypes="0" containsString="0" containsNumber="1" minValue="450" maxValue="1200"/>
    </cacheField>
    <cacheField name="Total" numFmtId="1">
      <sharedItems containsMixedTypes="1" containsNumber="1" minValue="450" maxValue="27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rrandro Ferreira" refreshedDate="46258.884517361112" createdVersion="8" refreshedVersion="8" minRefreshableVersion="3" recordCount="306" xr:uid="{2EC0EA08-BF95-4ED2-BBF9-4874179135FC}">
  <cacheSource type="worksheet">
    <worksheetSource name="Table1"/>
  </cacheSource>
  <cacheFields count="10">
    <cacheField name="Año" numFmtId="0">
      <sharedItems containsSemiMixedTypes="0" containsString="0" containsNumber="1" containsInteger="1" minValue="2021" maxValue="2021" count="1">
        <n v="2021"/>
      </sharedItems>
    </cacheField>
    <cacheField name="Mes" numFmtId="14">
      <sharedItems count="11">
        <s v="marzo"/>
        <s v="febrero"/>
        <s v="abril"/>
        <s v="mayo"/>
        <s v="junio"/>
        <s v="julio"/>
        <s v="agosto"/>
        <s v="septiembre"/>
        <s v="octubre"/>
        <s v="enero"/>
        <s v="diciembre"/>
      </sharedItems>
    </cacheField>
    <cacheField name="Dia semana" numFmtId="0">
      <sharedItems count="7">
        <s v="miércoles"/>
        <s v="viernes"/>
        <s v="domingo"/>
        <s v="lunes"/>
        <s v="martes"/>
        <s v="jueves"/>
        <s v="sábado"/>
      </sharedItems>
    </cacheField>
    <cacheField name="Dia" numFmtId="0">
      <sharedItems/>
    </cacheField>
    <cacheField name="Provincia" numFmtId="0">
      <sharedItems count="20">
        <s v="Granada"/>
        <s v="Madrid"/>
        <s v="Toledo"/>
        <s v="Sevilla"/>
        <s v="Zaragoza"/>
        <s v="Jaen"/>
        <s v="Huelva"/>
        <s v="Albacete"/>
        <s v="Lerida"/>
        <s v="Murcia"/>
        <s v="Malaga"/>
        <s v="Asturias"/>
        <s v="Leon"/>
        <s v="Cordoba"/>
        <s v="Cadiz"/>
        <s v="Tarragona"/>
        <s v="Caceres"/>
        <s v="Valladolid"/>
        <s v="Almeria"/>
        <s v="Badajoz"/>
      </sharedItems>
    </cacheField>
    <cacheField name="Centro" numFmtId="0">
      <sharedItems/>
    </cacheField>
    <cacheField name="Producto" numFmtId="0">
      <sharedItems/>
    </cacheField>
    <cacheField name="Cantidad" numFmtId="1">
      <sharedItems containsMixedTypes="1" containsNumber="1" minValue="1" maxValue="295"/>
    </cacheField>
    <cacheField name="Precio" numFmtId="1">
      <sharedItems containsSemiMixedTypes="0" containsString="0" containsNumber="1" minValue="450" maxValue="1200"/>
    </cacheField>
    <cacheField name="Total" numFmtId="1">
      <sharedItems containsMixedTypes="1" containsNumber="1" minValue="450" maxValue="27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2021"/>
    <x v="0"/>
    <x v="0"/>
    <s v="03"/>
    <s v="Granada"/>
    <s v="C.C. Nervion"/>
    <s v="Aspiradora"/>
    <n v="3"/>
    <n v="820"/>
    <n v="2460"/>
  </r>
  <r>
    <n v="2021"/>
    <x v="0"/>
    <x v="1"/>
    <s v="05"/>
    <s v="Madrid"/>
    <s v="Metromar"/>
    <s v="Frigorifico"/>
    <n v="154"/>
    <n v="800"/>
    <n v="123200"/>
  </r>
  <r>
    <n v="2021"/>
    <x v="0"/>
    <x v="2"/>
    <s v="07"/>
    <s v="Toledo"/>
    <s v="El corte ingles"/>
    <s v="Home Cinema"/>
    <s v="011"/>
    <n v="650"/>
    <n v="7150"/>
  </r>
  <r>
    <n v="2021"/>
    <x v="0"/>
    <x v="3"/>
    <s v="01"/>
    <s v="Sevilla"/>
    <s v="Supermercados MAS"/>
    <s v="Aspiradora"/>
    <n v="65.792441626929801"/>
    <n v="793.32924153814497"/>
    <n v="52195.067814834896"/>
  </r>
  <r>
    <n v="2021"/>
    <x v="0"/>
    <x v="1"/>
    <s v="12"/>
    <s v="Zaragoza"/>
    <s v="El corte ingles"/>
    <s v="Frigorifico"/>
    <n v="56"/>
    <n v="800"/>
    <n v="44800"/>
  </r>
  <r>
    <n v="2021"/>
    <x v="0"/>
    <x v="2"/>
    <s v="14"/>
    <s v="Jaen"/>
    <s v="C.C. Nervion"/>
    <s v="Frigorifico"/>
    <n v="60.567783699257802"/>
    <n v="801.93169603536103"/>
    <n v="48571.225507048701"/>
  </r>
  <r>
    <n v="2021"/>
    <x v="0"/>
    <x v="4"/>
    <s v="16"/>
    <s v="Huelva"/>
    <s v="C.C. Nervion"/>
    <s v="Aspiradora"/>
    <n v="68.260783954963799"/>
    <n v="784.540680367807"/>
    <n v="53553.361886467181"/>
  </r>
  <r>
    <n v="2021"/>
    <x v="0"/>
    <x v="0"/>
    <s v="17"/>
    <s v="Albacete"/>
    <s v="Carrefour"/>
    <s v="TV 32 pulgadas"/>
    <n v="230"/>
    <n v="1200"/>
    <n v="276000"/>
  </r>
  <r>
    <n v="2021"/>
    <x v="0"/>
    <x v="5"/>
    <s v="18"/>
    <s v="Lerida"/>
    <s v="Carrefour"/>
    <s v="TV 32 pulgadas"/>
    <n v="68"/>
    <n v="1200"/>
    <n v="81600"/>
  </r>
  <r>
    <n v="2021"/>
    <x v="0"/>
    <x v="2"/>
    <s v="21"/>
    <s v="Albacete"/>
    <s v="Supermercados MAS"/>
    <s v="Frigorifico"/>
    <n v="8"/>
    <n v="800"/>
    <n v="6400"/>
  </r>
  <r>
    <n v="2021"/>
    <x v="0"/>
    <x v="2"/>
    <s v="21"/>
    <s v="Murcia"/>
    <s v="Carrefour"/>
    <s v="Home Cinema"/>
    <n v="188"/>
    <n v="650"/>
    <n v="122200"/>
  </r>
  <r>
    <n v="2021"/>
    <x v="0"/>
    <x v="3"/>
    <s v="22"/>
    <s v="Huelva"/>
    <s v="Supermercados MAS"/>
    <s v="TV 32 pulgadas"/>
    <n v="18"/>
    <n v="1200"/>
    <n v="21600"/>
  </r>
  <r>
    <n v="2021"/>
    <x v="0"/>
    <x v="0"/>
    <s v="24"/>
    <s v="Granada"/>
    <s v="Metromar"/>
    <s v="TV 32 pulgadas"/>
    <n v="26"/>
    <n v="1200"/>
    <n v="31200"/>
  </r>
  <r>
    <n v="2021"/>
    <x v="0"/>
    <x v="5"/>
    <s v="25"/>
    <s v="Sevilla"/>
    <s v="C.C. Nervion"/>
    <s v="TV 32 pulgadas"/>
    <n v="56.453879819203799"/>
    <n v="826.57929796592498"/>
    <n v="46663.608348410176"/>
  </r>
  <r>
    <n v="2021"/>
    <x v="0"/>
    <x v="2"/>
    <s v="28"/>
    <s v="Malaga"/>
    <s v="Carrefour"/>
    <s v="Aspiradora"/>
    <n v="65.216495083721796"/>
    <n v="795.37990580122403"/>
    <n v="51871.889716376631"/>
  </r>
  <r>
    <n v="2021"/>
    <x v="0"/>
    <x v="3"/>
    <s v="29"/>
    <s v="Asturias"/>
    <s v="Supermercados MAS"/>
    <s v="Aspiradora"/>
    <s v="01"/>
    <n v="820"/>
    <n v="820"/>
  </r>
  <r>
    <n v="2021"/>
    <x v="1"/>
    <x v="0"/>
    <s v="03"/>
    <s v="Leon"/>
    <s v="C.C. Vicar"/>
    <s v="Frigorifico"/>
    <n v="28"/>
    <n v="800"/>
    <n v="22400"/>
  </r>
  <r>
    <n v="2021"/>
    <x v="1"/>
    <x v="5"/>
    <s v="04"/>
    <s v="Jaen"/>
    <s v="El corte ingles"/>
    <s v="Frigorifico"/>
    <n v="77"/>
    <n v="800"/>
    <n v="61600"/>
  </r>
  <r>
    <n v="2021"/>
    <x v="1"/>
    <x v="5"/>
    <s v="04"/>
    <s v="Murcia"/>
    <s v="El corte ingles"/>
    <s v="Aspiradora"/>
    <n v="142"/>
    <n v="820"/>
    <n v="116440"/>
  </r>
  <r>
    <n v="2021"/>
    <x v="1"/>
    <x v="5"/>
    <s v="04"/>
    <s v="Toledo"/>
    <s v="El corte ingles"/>
    <s v="Frigorifico"/>
    <s v="016"/>
    <n v="800"/>
    <n v="12800"/>
  </r>
  <r>
    <n v="2021"/>
    <x v="1"/>
    <x v="1"/>
    <s v="05"/>
    <s v="Jaen"/>
    <s v="Supermercados MAS"/>
    <s v="Frigorifico"/>
    <n v="62.007650057277601"/>
    <n v="806.80503533266403"/>
    <n v="50028.084295357323"/>
  </r>
  <r>
    <n v="2021"/>
    <x v="1"/>
    <x v="2"/>
    <s v="07"/>
    <s v="Huelva"/>
    <s v="C.C. Nervion"/>
    <s v="Home Cinema"/>
    <n v="48"/>
    <n v="650"/>
    <n v="31200"/>
  </r>
  <r>
    <n v="2021"/>
    <x v="1"/>
    <x v="2"/>
    <s v="07"/>
    <s v="Cordoba"/>
    <s v="C.C. Nervion"/>
    <s v="Frigorifico"/>
    <n v="62.707033716887302"/>
    <n v="804.31494300306804"/>
    <n v="50436.204249889677"/>
  </r>
  <r>
    <n v="2021"/>
    <x v="1"/>
    <x v="2"/>
    <s v="07"/>
    <s v="Madrid"/>
    <s v="Metromar"/>
    <s v="Lavadora 8 Kg"/>
    <n v="12"/>
    <n v="450"/>
    <n v="5400"/>
  </r>
  <r>
    <n v="2021"/>
    <x v="1"/>
    <x v="3"/>
    <s v="08"/>
    <s v="Huelva"/>
    <s v="Supermercados MAS"/>
    <s v="Aspiradora"/>
    <n v="68.384202171365501"/>
    <n v="784.10325230929004"/>
    <n v="53620.275329143704"/>
  </r>
  <r>
    <n v="2021"/>
    <x v="1"/>
    <x v="4"/>
    <s v="09"/>
    <s v="Zaragoza"/>
    <s v="Supermercados MAS"/>
    <s v="Home Cinema"/>
    <n v="14"/>
    <n v="650"/>
    <n v="9100"/>
  </r>
  <r>
    <n v="2021"/>
    <x v="1"/>
    <x v="4"/>
    <s v="09"/>
    <s v="Zaragoza"/>
    <s v="Carrefour"/>
    <s v="Aspiradora"/>
    <n v="149"/>
    <n v="950"/>
    <n v="141550"/>
  </r>
  <r>
    <n v="2021"/>
    <x v="1"/>
    <x v="0"/>
    <s v="10"/>
    <s v="Cordoba"/>
    <s v="C.C. Vicar"/>
    <s v="Lavadora 8 Kg"/>
    <n v="64.928521812017905"/>
    <n v="796.40523794776402"/>
    <n v="51709.414863296704"/>
  </r>
  <r>
    <n v="2021"/>
    <x v="1"/>
    <x v="6"/>
    <s v="13"/>
    <s v="Cadiz"/>
    <s v="Supermercados MAS"/>
    <s v="Aspiradora"/>
    <n v="24"/>
    <n v="950"/>
    <n v="22800"/>
  </r>
  <r>
    <n v="2021"/>
    <x v="1"/>
    <x v="6"/>
    <s v="13"/>
    <s v="Toledo"/>
    <s v="Carrefour"/>
    <s v="Aspiradora"/>
    <n v="4"/>
    <n v="950"/>
    <n v="3800"/>
  </r>
  <r>
    <n v="2021"/>
    <x v="1"/>
    <x v="2"/>
    <s v="14"/>
    <s v="Cordoba"/>
    <s v="C.C. Nervion"/>
    <s v="Aspiradora"/>
    <n v="62.953847949690697"/>
    <n v="803.43608688403401"/>
    <n v="50579.393250991961"/>
  </r>
  <r>
    <n v="2021"/>
    <x v="1"/>
    <x v="0"/>
    <s v="17"/>
    <s v="Asturias"/>
    <s v="C.C. Vicar"/>
    <s v="Home Cinema"/>
    <n v="42"/>
    <n v="650"/>
    <n v="27300"/>
  </r>
  <r>
    <n v="2021"/>
    <x v="1"/>
    <x v="2"/>
    <s v="21"/>
    <s v="Sevilla"/>
    <s v="Carrefour"/>
    <s v="Aspiradora"/>
    <n v="24"/>
    <n v="820"/>
    <n v="19680"/>
  </r>
  <r>
    <n v="2021"/>
    <x v="1"/>
    <x v="2"/>
    <s v="21"/>
    <s v="Huelva"/>
    <s v="C.C. Nervion"/>
    <s v="TV 32 pulgadas"/>
    <n v="70"/>
    <n v="1200"/>
    <n v="84000"/>
  </r>
  <r>
    <n v="2021"/>
    <x v="1"/>
    <x v="5"/>
    <s v="25"/>
    <s v="Sevilla"/>
    <s v="C.C. Vicar"/>
    <s v="Home Cinema"/>
    <n v="65.586746432926901"/>
    <n v="794.06162163567296"/>
    <n v="52079.918230337622"/>
  </r>
  <r>
    <n v="2021"/>
    <x v="1"/>
    <x v="2"/>
    <s v="28"/>
    <s v="Tarragona"/>
    <s v="C.C. Vicar"/>
    <s v="Aspiradora"/>
    <n v="22"/>
    <n v="950"/>
    <n v="20900"/>
  </r>
  <r>
    <n v="2021"/>
    <x v="0"/>
    <x v="0"/>
    <s v="03"/>
    <s v="Madrid"/>
    <s v="Supermercados MAS"/>
    <s v="Lavadora 8 Kg"/>
    <n v="1"/>
    <n v="450"/>
    <n v="450"/>
  </r>
  <r>
    <n v="2021"/>
    <x v="0"/>
    <x v="0"/>
    <s v="03"/>
    <s v="Cadiz"/>
    <s v="Metromar"/>
    <s v="Aspiradora"/>
    <n v="9"/>
    <n v="950"/>
    <n v="8550"/>
  </r>
  <r>
    <n v="2021"/>
    <x v="0"/>
    <x v="0"/>
    <s v="03"/>
    <s v="Caceres"/>
    <s v="Carrefour"/>
    <s v="Lavadora 8 Kg"/>
    <n v="5"/>
    <n v="450"/>
    <n v="2250"/>
  </r>
  <r>
    <n v="2021"/>
    <x v="0"/>
    <x v="0"/>
    <s v="03"/>
    <s v="Lerida"/>
    <s v="Metromar"/>
    <s v="Home Cinema"/>
    <n v="40"/>
    <n v="650"/>
    <n v="26000"/>
  </r>
  <r>
    <n v="2021"/>
    <x v="0"/>
    <x v="5"/>
    <s v="04"/>
    <s v="Huelva"/>
    <s v="Metromar"/>
    <s v="Frigorifico"/>
    <n v="57"/>
    <n v="800"/>
    <n v="45600"/>
  </r>
  <r>
    <n v="2021"/>
    <x v="0"/>
    <x v="2"/>
    <s v="07"/>
    <s v="Huelva"/>
    <s v="Supermercados MAS"/>
    <s v="Aspiradora"/>
    <n v="6"/>
    <n v="820"/>
    <n v="4920"/>
  </r>
  <r>
    <n v="2021"/>
    <x v="0"/>
    <x v="2"/>
    <s v="07"/>
    <s v="Valladolid"/>
    <s v="C.C. Nervion"/>
    <s v="Frigorifico"/>
    <n v="12"/>
    <n v="800"/>
    <n v="9600"/>
  </r>
  <r>
    <n v="2021"/>
    <x v="0"/>
    <x v="3"/>
    <s v="08"/>
    <s v="Sevilla"/>
    <s v="Carrefour"/>
    <s v="Aspiradora"/>
    <n v="67.273447023750194"/>
    <n v="788.05610483594205"/>
    <n v="53015.250620423678"/>
  </r>
  <r>
    <n v="2021"/>
    <x v="0"/>
    <x v="0"/>
    <s v="10"/>
    <s v="Madrid"/>
    <s v="Supermercados MAS"/>
    <s v="Lavadora 8 Kg"/>
    <n v="39"/>
    <n v="450"/>
    <n v="17550"/>
  </r>
  <r>
    <n v="2021"/>
    <x v="0"/>
    <x v="0"/>
    <s v="10"/>
    <s v="Cadiz"/>
    <s v="C.C. Nervion"/>
    <s v="Aspiradora"/>
    <n v="9"/>
    <n v="820"/>
    <n v="7380"/>
  </r>
  <r>
    <n v="2021"/>
    <x v="0"/>
    <x v="3"/>
    <s v="01"/>
    <s v="Lerida"/>
    <s v="Supermercados MAS"/>
    <s v="TV 32 pulgadas"/>
    <n v="33"/>
    <n v="1200"/>
    <n v="39600"/>
  </r>
  <r>
    <n v="2021"/>
    <x v="0"/>
    <x v="4"/>
    <s v="16"/>
    <s v="Huelva"/>
    <s v="Carrefour"/>
    <s v="Frigorifico"/>
    <s v="012"/>
    <n v="800"/>
    <n v="9600"/>
  </r>
  <r>
    <n v="2021"/>
    <x v="0"/>
    <x v="4"/>
    <s v="16"/>
    <s v="Huelva"/>
    <s v="C.C. Nervion"/>
    <s v="Aspiradora"/>
    <n v="57.893746177220997"/>
    <n v="821.452637283228"/>
    <n v="47556.970479483985"/>
  </r>
  <r>
    <n v="2021"/>
    <x v="0"/>
    <x v="0"/>
    <s v="17"/>
    <s v="Granada"/>
    <s v="Metromar"/>
    <s v="TV 32 pulgadas"/>
    <n v="14"/>
    <n v="1200"/>
    <n v="16800"/>
  </r>
  <r>
    <n v="2021"/>
    <x v="0"/>
    <x v="5"/>
    <s v="18"/>
    <s v="Sevilla"/>
    <s v="C.C. Vicar"/>
    <s v="Frigorifico"/>
    <n v="67.643698372955299"/>
    <n v="786.73782066039098"/>
    <n v="53217.855839347685"/>
  </r>
  <r>
    <n v="2021"/>
    <x v="0"/>
    <x v="5"/>
    <s v="18"/>
    <s v="Valladolid"/>
    <s v="Supermercados MAS"/>
    <s v="Aspiradora"/>
    <n v="4"/>
    <n v="820"/>
    <n v="3280"/>
  </r>
  <r>
    <n v="2021"/>
    <x v="0"/>
    <x v="1"/>
    <s v="19"/>
    <s v="Huelva"/>
    <s v="El corte ingles"/>
    <s v="Frigorifico"/>
    <n v="58.881083108434602"/>
    <n v="817.93721281509295"/>
    <n v="48161.029005246848"/>
  </r>
  <r>
    <n v="2021"/>
    <x v="0"/>
    <x v="6"/>
    <s v="20"/>
    <s v="Almeria"/>
    <s v="Supermercados MAS"/>
    <s v="Aspiradora"/>
    <n v="22"/>
    <n v="950"/>
    <n v="20900"/>
  </r>
  <r>
    <n v="2021"/>
    <x v="0"/>
    <x v="6"/>
    <s v="20"/>
    <s v="Almeria"/>
    <s v="Metromar"/>
    <s v="Aspiradora"/>
    <n v="15"/>
    <n v="820"/>
    <n v="12300"/>
  </r>
  <r>
    <n v="2021"/>
    <x v="0"/>
    <x v="2"/>
    <s v="21"/>
    <s v="Cordoba"/>
    <s v="C.C. Nervion"/>
    <s v="TV 32 pulgadas"/>
    <n v="17"/>
    <n v="1200"/>
    <n v="20400"/>
  </r>
  <r>
    <n v="2021"/>
    <x v="0"/>
    <x v="2"/>
    <s v="21"/>
    <s v="Huelva"/>
    <s v="El corte ingles"/>
    <s v="Frigorifico"/>
    <n v="68.507618187767207"/>
    <n v="783.66182425077295"/>
    <n v="53686.805044101078"/>
  </r>
  <r>
    <n v="2021"/>
    <x v="0"/>
    <x v="2"/>
    <s v="21"/>
    <s v="Toledo"/>
    <s v="C.C. Nervion"/>
    <s v="TV 32 pulgadas"/>
    <n v="95"/>
    <n v="1200"/>
    <n v="114000"/>
  </r>
  <r>
    <n v="2021"/>
    <x v="0"/>
    <x v="1"/>
    <s v="26"/>
    <s v="Tarragona"/>
    <s v="C.C. Nervion"/>
    <s v="Aspiradora"/>
    <n v="1"/>
    <n v="820"/>
    <n v="820"/>
  </r>
  <r>
    <n v="2021"/>
    <x v="0"/>
    <x v="6"/>
    <s v="27"/>
    <s v="Granada"/>
    <s v="Carrefour"/>
    <s v="TV 32 pulgadas"/>
    <n v="126"/>
    <n v="1200"/>
    <n v="151200"/>
  </r>
  <r>
    <n v="2021"/>
    <x v="0"/>
    <x v="3"/>
    <s v="29"/>
    <s v="Madrid"/>
    <s v="C.C. Vicar"/>
    <s v="Aspiradora"/>
    <n v="24"/>
    <n v="950"/>
    <n v="22800"/>
  </r>
  <r>
    <n v="2021"/>
    <x v="0"/>
    <x v="4"/>
    <s v="30"/>
    <s v="Huelva"/>
    <s v="El corte ingles"/>
    <s v="Home Cinema"/>
    <n v="57.7703290608193"/>
    <n v="821.89206534174502"/>
    <n v="47480.975067269006"/>
  </r>
  <r>
    <n v="2021"/>
    <x v="0"/>
    <x v="4"/>
    <s v="30"/>
    <s v="Cadiz"/>
    <s v="Supermercados MAS"/>
    <s v="Frigorifico"/>
    <n v="4"/>
    <n v="800"/>
    <n v="3200"/>
  </r>
  <r>
    <n v="2021"/>
    <x v="2"/>
    <x v="6"/>
    <s v="03"/>
    <s v="Jaen"/>
    <s v="El corte ingles"/>
    <s v="Aspiradora"/>
    <n v="60.814617932061203"/>
    <n v="801.05283989832799"/>
    <n v="48715.722401809413"/>
  </r>
  <r>
    <n v="2021"/>
    <x v="2"/>
    <x v="1"/>
    <s v="02"/>
    <s v="Jaen"/>
    <s v="C.C. Vicar"/>
    <s v="Aspiradora"/>
    <n v="30"/>
    <n v="820"/>
    <n v="24600"/>
  </r>
  <r>
    <n v="2021"/>
    <x v="2"/>
    <x v="1"/>
    <s v="02"/>
    <s v="Madrid"/>
    <s v="C.C. Vicar"/>
    <s v="Aspiradora"/>
    <n v="20"/>
    <n v="820"/>
    <n v="16400"/>
  </r>
  <r>
    <n v="2021"/>
    <x v="2"/>
    <x v="6"/>
    <s v="03"/>
    <s v="Lerida"/>
    <s v="Metromar"/>
    <s v="Frigorifico"/>
    <n v="60"/>
    <n v="800"/>
    <n v="48000"/>
  </r>
  <r>
    <n v="2021"/>
    <x v="2"/>
    <x v="2"/>
    <s v="04"/>
    <s v="Huelva"/>
    <s v="C.C. Nervion"/>
    <s v="Home Cinema"/>
    <n v="6"/>
    <n v="650"/>
    <n v="3900"/>
  </r>
  <r>
    <n v="2021"/>
    <x v="2"/>
    <x v="2"/>
    <s v="04"/>
    <s v="Leon"/>
    <s v="Metromar"/>
    <s v="Aspiradora"/>
    <n v="8"/>
    <n v="950"/>
    <n v="7600"/>
  </r>
  <r>
    <n v="2021"/>
    <x v="2"/>
    <x v="3"/>
    <s v="05"/>
    <s v="Sevilla"/>
    <s v="El corte ingles"/>
    <s v="Home Cinema"/>
    <n v="65.257634122522404"/>
    <n v="795.233429791719"/>
    <n v="51895.052203346604"/>
  </r>
  <r>
    <n v="2021"/>
    <x v="2"/>
    <x v="3"/>
    <s v="05"/>
    <s v="Huelva"/>
    <s v="El corte ingles"/>
    <s v="Home Cinema"/>
    <n v="68.137366838562102"/>
    <n v="784.98030842632397"/>
    <n v="53486.491236292059"/>
  </r>
  <r>
    <n v="2021"/>
    <x v="2"/>
    <x v="4"/>
    <s v="06"/>
    <s v="Huelva"/>
    <s v="Metromar"/>
    <s v="TV 32 pulgadas"/>
    <n v="67.890532605758693"/>
    <n v="785.85896454335796"/>
    <n v="53352.383655858612"/>
  </r>
  <r>
    <n v="2021"/>
    <x v="2"/>
    <x v="4"/>
    <s v="06"/>
    <s v="Lerida"/>
    <s v="Carrefour"/>
    <s v="Aspiradora"/>
    <n v="37"/>
    <n v="820"/>
    <n v="30340"/>
  </r>
  <r>
    <n v="2021"/>
    <x v="2"/>
    <x v="5"/>
    <s v="08"/>
    <s v="Granada"/>
    <s v="C.C. Vicar"/>
    <s v="Aspiradora"/>
    <n v="295"/>
    <n v="820"/>
    <n v="241900"/>
  </r>
  <r>
    <n v="2021"/>
    <x v="2"/>
    <x v="1"/>
    <s v="09"/>
    <s v="Madrid"/>
    <s v="Supermercados MAS"/>
    <s v="Frigorifico"/>
    <n v="5"/>
    <n v="800"/>
    <n v="4000"/>
  </r>
  <r>
    <n v="2021"/>
    <x v="2"/>
    <x v="3"/>
    <s v="12"/>
    <s v="Jaen"/>
    <s v="Metromar"/>
    <s v="Home Cinema"/>
    <n v="132"/>
    <n v="650"/>
    <n v="85800"/>
  </r>
  <r>
    <n v="2021"/>
    <x v="2"/>
    <x v="0"/>
    <s v="14"/>
    <s v="Huelva"/>
    <s v="C.C. Nervion"/>
    <s v="Home Cinema"/>
    <n v="9"/>
    <n v="650"/>
    <n v="5850"/>
  </r>
  <r>
    <n v="2021"/>
    <x v="2"/>
    <x v="0"/>
    <s v="14"/>
    <s v="Valladolid"/>
    <s v="Supermercados MAS"/>
    <s v="Aspiradora"/>
    <n v="1"/>
    <n v="820"/>
    <n v="820"/>
  </r>
  <r>
    <n v="2021"/>
    <x v="2"/>
    <x v="1"/>
    <s v="16"/>
    <s v="Leon"/>
    <s v="C.C. Nervion"/>
    <s v="Frigorifico"/>
    <n v="31"/>
    <n v="800"/>
    <n v="24800"/>
  </r>
  <r>
    <n v="2021"/>
    <x v="2"/>
    <x v="2"/>
    <s v="18"/>
    <s v="Sevilla"/>
    <s v="C.C. Vicar"/>
    <s v="TV 32 pulgadas"/>
    <n v="56.865270207206798"/>
    <n v="825.01453777086897"/>
    <n v="46914.67461521428"/>
  </r>
  <r>
    <n v="2021"/>
    <x v="2"/>
    <x v="2"/>
    <s v="18"/>
    <s v="Toledo"/>
    <s v="C.C. Nervion"/>
    <s v="Frigorifico"/>
    <n v="48"/>
    <n v="800"/>
    <n v="38400"/>
  </r>
  <r>
    <n v="2021"/>
    <x v="2"/>
    <x v="3"/>
    <s v="19"/>
    <s v="Granada"/>
    <s v="El corte ingles"/>
    <s v="Aspiradora"/>
    <n v="15"/>
    <n v="820"/>
    <n v="12300"/>
  </r>
  <r>
    <n v="2021"/>
    <x v="2"/>
    <x v="4"/>
    <s v="20"/>
    <s v="Badajoz"/>
    <s v="Carrefour"/>
    <s v="Frigorifico"/>
    <n v="64"/>
    <n v="800"/>
    <n v="51200"/>
  </r>
  <r>
    <n v="2021"/>
    <x v="2"/>
    <x v="0"/>
    <s v="21"/>
    <s v="Badajoz"/>
    <s v="Metromar"/>
    <s v="TV 32 pulgadas"/>
    <n v="39"/>
    <n v="1200"/>
    <n v="46800"/>
  </r>
  <r>
    <n v="2021"/>
    <x v="2"/>
    <x v="0"/>
    <s v="21"/>
    <s v="Caceres"/>
    <s v="Metromar"/>
    <s v="Aspiradora"/>
    <n v="25"/>
    <n v="820"/>
    <n v="20500"/>
  </r>
  <r>
    <n v="2021"/>
    <x v="2"/>
    <x v="5"/>
    <s v="22"/>
    <s v="Granada"/>
    <s v="El corte ingles"/>
    <s v="Aspiradora"/>
    <n v="36"/>
    <n v="820"/>
    <n v="29520"/>
  </r>
  <r>
    <n v="2021"/>
    <x v="2"/>
    <x v="6"/>
    <s v="24"/>
    <s v="Sevilla"/>
    <s v="C.C. Vicar"/>
    <s v="Frigorifico"/>
    <n v="66"/>
    <n v="800"/>
    <n v="52800"/>
  </r>
  <r>
    <n v="2021"/>
    <x v="2"/>
    <x v="6"/>
    <s v="24"/>
    <s v="Sevilla"/>
    <s v="C.C. Vicar"/>
    <s v="Frigorifico"/>
    <n v="56.330462702799402"/>
    <n v="827.03872602444198"/>
    <n v="46587.474110090559"/>
  </r>
  <r>
    <n v="2021"/>
    <x v="2"/>
    <x v="2"/>
    <s v="25"/>
    <s v="Cordoba"/>
    <s v="Carrefour"/>
    <s v="Lavadora 8 Kg"/>
    <n v="63.817767764502598"/>
    <n v="800.36009047441598"/>
    <n v="51077.19438187257"/>
  </r>
  <r>
    <n v="2021"/>
    <x v="2"/>
    <x v="3"/>
    <s v="26"/>
    <s v="Cordoba"/>
    <s v="El corte ingles"/>
    <s v="Frigorifico"/>
    <n v="64.722826618015006"/>
    <n v="797.13761804529202"/>
    <n v="51592.999843442907"/>
  </r>
  <r>
    <n v="2021"/>
    <x v="2"/>
    <x v="3"/>
    <s v="26"/>
    <s v="Murcia"/>
    <s v="El corte ingles"/>
    <s v="TV 32 pulgadas"/>
    <n v="38"/>
    <n v="1200"/>
    <n v="45600"/>
  </r>
  <r>
    <n v="2021"/>
    <x v="2"/>
    <x v="4"/>
    <s v="27"/>
    <s v="Cadiz"/>
    <s v="Carrefour"/>
    <s v="Frigorifico"/>
    <n v="30"/>
    <n v="800"/>
    <n v="24000"/>
  </r>
  <r>
    <n v="2021"/>
    <x v="2"/>
    <x v="4"/>
    <s v="27"/>
    <s v="Asturias"/>
    <s v="Carrefour"/>
    <s v="Aspiradora"/>
    <n v="17"/>
    <n v="950"/>
    <n v="16150"/>
  </r>
  <r>
    <n v="2021"/>
    <x v="2"/>
    <x v="0"/>
    <s v="28"/>
    <s v="Toledo"/>
    <s v="C.C. Nervion"/>
    <s v="Frigorifico"/>
    <n v="9"/>
    <n v="800"/>
    <n v="7200"/>
  </r>
  <r>
    <n v="2021"/>
    <x v="2"/>
    <x v="5"/>
    <s v="29"/>
    <s v="Cordoba"/>
    <s v="Supermercados MAS"/>
    <s v="Home Cinema"/>
    <n v="7"/>
    <n v="650"/>
    <n v="4550"/>
  </r>
  <r>
    <n v="2021"/>
    <x v="3"/>
    <x v="3"/>
    <s v="03"/>
    <s v="Tarragona"/>
    <s v="Metromar"/>
    <s v="Aspiradora"/>
    <n v="1"/>
    <n v="820"/>
    <n v="820"/>
  </r>
  <r>
    <n v="2021"/>
    <x v="3"/>
    <x v="4"/>
    <s v="04"/>
    <s v="Madrid"/>
    <s v="C.C. Nervion"/>
    <s v="Aspiradora"/>
    <n v="5"/>
    <n v="820"/>
    <n v="4100"/>
  </r>
  <r>
    <n v="2021"/>
    <x v="3"/>
    <x v="1"/>
    <s v="07"/>
    <s v="Huelva"/>
    <s v="Metromar"/>
    <s v="TV 32 pulgadas"/>
    <n v="57.523494828035901"/>
    <n v="822.77092145877896"/>
    <n v="47328.658845192404"/>
  </r>
  <r>
    <n v="2021"/>
    <x v="3"/>
    <x v="6"/>
    <s v="01"/>
    <s v="Cordoba"/>
    <s v="Supermercados MAS"/>
    <s v="Frigorifico"/>
    <n v="64.558270462912802"/>
    <n v="797.72352212331396"/>
    <n v="51147.075044928017"/>
  </r>
  <r>
    <n v="2021"/>
    <x v="3"/>
    <x v="5"/>
    <s v="13"/>
    <s v="Huelva"/>
    <s v="C.C. Nervion"/>
    <s v="TV 32 pulgadas"/>
    <n v="22"/>
    <n v="1200"/>
    <n v="26400"/>
  </r>
  <r>
    <n v="2021"/>
    <x v="3"/>
    <x v="5"/>
    <s v="13"/>
    <s v="Cordoba"/>
    <s v="Metromar"/>
    <s v="Frigorifico"/>
    <n v="63.940184880904297"/>
    <n v="799.92066241589896"/>
    <n v="51147.075044928017"/>
  </r>
  <r>
    <n v="2021"/>
    <x v="3"/>
    <x v="1"/>
    <s v="14"/>
    <s v="Sevilla"/>
    <s v="C.C. Vicar"/>
    <s v="Aspiradora"/>
    <n v="57.358938672813601"/>
    <n v="823.35682553680294"/>
    <n v="47226.873661807964"/>
  </r>
  <r>
    <n v="2021"/>
    <x v="3"/>
    <x v="1"/>
    <s v="14"/>
    <s v="Toledo"/>
    <s v="Carrefour"/>
    <s v="Home Cinema"/>
    <n v="27"/>
    <n v="650"/>
    <n v="17550"/>
  </r>
  <r>
    <n v="2021"/>
    <x v="3"/>
    <x v="2"/>
    <s v="16"/>
    <s v="Zaragoza"/>
    <s v="C.C. Vicar"/>
    <s v="Aspiradora"/>
    <n v="26"/>
    <n v="820"/>
    <n v="21320"/>
  </r>
  <r>
    <n v="2021"/>
    <x v="3"/>
    <x v="0"/>
    <s v="19"/>
    <s v="Leon"/>
    <s v="Metromar"/>
    <s v="Lavadora 8 Kg"/>
    <n v="56"/>
    <n v="450"/>
    <n v="25200"/>
  </r>
  <r>
    <n v="2021"/>
    <x v="3"/>
    <x v="1"/>
    <s v="21"/>
    <s v="Jaen"/>
    <s v="Supermercados MAS"/>
    <s v="Frigorifico"/>
    <n v="61.267147358867398"/>
    <n v="809.44160368376595"/>
    <n v="49592.178011291231"/>
  </r>
  <r>
    <n v="2021"/>
    <x v="3"/>
    <x v="6"/>
    <s v="22"/>
    <s v="Badajoz"/>
    <s v="Metromar"/>
    <s v="TV 32 pulgadas"/>
    <n v="40"/>
    <n v="1200"/>
    <n v="48000"/>
  </r>
  <r>
    <n v="2021"/>
    <x v="3"/>
    <x v="5"/>
    <s v="23"/>
    <s v="Cadiz"/>
    <s v="C.C. Nervion"/>
    <s v="Home Cinema"/>
    <n v="5"/>
    <n v="650"/>
    <n v="81600"/>
  </r>
  <r>
    <n v="2021"/>
    <x v="3"/>
    <x v="2"/>
    <s v="24"/>
    <s v="Jaen"/>
    <s v="Carrefour"/>
    <s v="Home Cinema"/>
    <n v="60.362088505255002"/>
    <n v="812.66407601288995"/>
    <e v="#REF!"/>
  </r>
  <r>
    <n v="2021"/>
    <x v="3"/>
    <x v="2"/>
    <s v="24"/>
    <s v="Asturias"/>
    <s v="Metromar"/>
    <s v="Aspiradora"/>
    <n v="58"/>
    <n v="820"/>
    <n v="6400"/>
  </r>
  <r>
    <n v="2021"/>
    <x v="3"/>
    <x v="2"/>
    <s v="26"/>
    <s v="Almeria"/>
    <s v="C.C. Nervion"/>
    <s v="Aspiradora"/>
    <n v="2"/>
    <n v="950"/>
    <n v="122200"/>
  </r>
  <r>
    <n v="2021"/>
    <x v="3"/>
    <x v="3"/>
    <s v="30"/>
    <s v="Badajoz"/>
    <s v="C.C. Vicar"/>
    <s v="Frigorifico"/>
    <n v="56"/>
    <n v="800"/>
    <n v="21600"/>
  </r>
  <r>
    <n v="2021"/>
    <x v="3"/>
    <x v="0"/>
    <s v="31"/>
    <s v="Cordoba"/>
    <s v="El corte ingles"/>
    <s v="TV 32 pulgadas"/>
    <n v="55"/>
    <n v="1200"/>
    <n v="31200"/>
  </r>
  <r>
    <n v="2021"/>
    <x v="4"/>
    <x v="5"/>
    <s v="03"/>
    <s v="Zaragoza"/>
    <s v="Carrefour"/>
    <s v="TV 32 pulgadas"/>
    <n v="166"/>
    <n v="1200"/>
    <n v="46663.608348410176"/>
  </r>
  <r>
    <n v="2021"/>
    <x v="4"/>
    <x v="2"/>
    <s v="03"/>
    <s v="Caceres"/>
    <s v="C.C. Nervion"/>
    <s v="TV 32 pulgadas"/>
    <n v="13"/>
    <n v="1200"/>
    <n v="51871.889716376631"/>
  </r>
  <r>
    <n v="2021"/>
    <x v="4"/>
    <x v="3"/>
    <s v="02"/>
    <s v="Granada"/>
    <s v="Metromar"/>
    <s v="Frigorifico"/>
    <n v="97"/>
    <n v="800"/>
    <n v="820"/>
  </r>
  <r>
    <n v="2021"/>
    <x v="4"/>
    <x v="0"/>
    <s v="04"/>
    <s v="Leon"/>
    <s v="Carrefour"/>
    <s v="TV 32 pulgadas"/>
    <n v="41"/>
    <n v="1200"/>
    <n v="22400"/>
  </r>
  <r>
    <n v="2021"/>
    <x v="4"/>
    <x v="6"/>
    <s v="05"/>
    <s v="Sevilla"/>
    <s v="Carrefour"/>
    <s v="Frigorifico"/>
    <n v="69"/>
    <n v="800"/>
    <n v="55200"/>
  </r>
  <r>
    <n v="2021"/>
    <x v="4"/>
    <x v="6"/>
    <s v="05"/>
    <s v="Huelva"/>
    <s v="C.C. Vicar"/>
    <s v="Aspiradora"/>
    <n v="68.219644916163205"/>
    <n v="784.68715638731203"/>
    <n v="53531.079179016255"/>
  </r>
  <r>
    <n v="2021"/>
    <x v="4"/>
    <x v="3"/>
    <s v="07"/>
    <s v="Madrid"/>
    <s v="Metromar"/>
    <s v="Frigorifico"/>
    <n v="54"/>
    <n v="800"/>
    <n v="43200"/>
  </r>
  <r>
    <n v="2021"/>
    <x v="4"/>
    <x v="0"/>
    <s v="09"/>
    <s v="Granada"/>
    <s v="C.C. Nervion"/>
    <s v="TV 32 pulgadas"/>
    <n v="86"/>
    <n v="1200"/>
    <n v="103200"/>
  </r>
  <r>
    <n v="2021"/>
    <x v="4"/>
    <x v="0"/>
    <s v="09"/>
    <s v="Lerida"/>
    <s v="Carrefour"/>
    <s v="TV 32 pulgadas"/>
    <n v="40"/>
    <n v="1200"/>
    <n v="48000"/>
  </r>
  <r>
    <n v="2021"/>
    <x v="4"/>
    <x v="4"/>
    <s v="01"/>
    <s v="Almeria"/>
    <s v="El corte ingles"/>
    <s v="Lavadora 8 Kg"/>
    <n v="96"/>
    <n v="450"/>
    <n v="43200"/>
  </r>
  <r>
    <n v="2021"/>
    <x v="4"/>
    <x v="2"/>
    <s v="13"/>
    <s v="Murcia"/>
    <s v="Supermercados MAS"/>
    <s v="Aspiradora"/>
    <n v="29"/>
    <n v="820"/>
    <n v="23780"/>
  </r>
  <r>
    <n v="2021"/>
    <x v="4"/>
    <x v="4"/>
    <s v="15"/>
    <s v="Huelva"/>
    <s v="C.C. Vicar"/>
    <s v="TV 32 pulgadas"/>
    <n v="68.713313381770007"/>
    <n v="782.92944415324496"/>
    <n v="53797.676251916921"/>
  </r>
  <r>
    <n v="2021"/>
    <x v="4"/>
    <x v="0"/>
    <s v="16"/>
    <s v="Cordoba"/>
    <s v="C.C. Nervion"/>
    <s v="Aspiradora"/>
    <n v="64.640548540513905"/>
    <n v="797.43057008430299"/>
    <n v="51546.349473224065"/>
  </r>
  <r>
    <n v="2021"/>
    <x v="4"/>
    <x v="5"/>
    <s v="17"/>
    <s v="Sevilla"/>
    <s v="El corte ingles"/>
    <s v="Aspiradora"/>
    <n v="41"/>
    <n v="950"/>
    <n v="38950"/>
  </r>
  <r>
    <n v="2021"/>
    <x v="4"/>
    <x v="5"/>
    <s v="17"/>
    <s v="Tarragona"/>
    <s v="Metromar"/>
    <s v="Frigorifico"/>
    <n v="35"/>
    <n v="800"/>
    <n v="28000"/>
  </r>
  <r>
    <n v="2021"/>
    <x v="4"/>
    <x v="6"/>
    <s v="19"/>
    <s v="Valladolid"/>
    <s v="El corte ingles"/>
    <s v="TV 32 pulgadas"/>
    <n v="135"/>
    <n v="1200"/>
    <n v="162000"/>
  </r>
  <r>
    <n v="2021"/>
    <x v="4"/>
    <x v="4"/>
    <s v="22"/>
    <s v="Cordoba"/>
    <s v="El corte ingles"/>
    <s v="TV 32 pulgadas"/>
    <n v="64.517131424012206"/>
    <n v="797.86999814282001"/>
    <n v="51476.28352945669"/>
  </r>
  <r>
    <n v="2021"/>
    <x v="4"/>
    <x v="4"/>
    <s v="22"/>
    <s v="Madrid"/>
    <s v="Supermercados MAS"/>
    <s v="Frigorifico"/>
    <n v="19"/>
    <n v="800"/>
    <n v="15200"/>
  </r>
  <r>
    <n v="2021"/>
    <x v="4"/>
    <x v="0"/>
    <s v="23"/>
    <s v="Cordoba"/>
    <s v="Supermercados MAS"/>
    <s v="Frigorifico"/>
    <n v="9"/>
    <n v="800"/>
    <n v="7200"/>
  </r>
  <r>
    <n v="2021"/>
    <x v="4"/>
    <x v="0"/>
    <s v="23"/>
    <s v="Cordoba"/>
    <s v="Supermercados MAS"/>
    <s v="TV 32 pulgadas"/>
    <n v="18"/>
    <n v="1200"/>
    <n v="21600"/>
  </r>
  <r>
    <n v="2021"/>
    <x v="4"/>
    <x v="1"/>
    <s v="25"/>
    <s v="Huelva"/>
    <s v="C.C. Vicar"/>
    <s v="Lavadora 8 Kg"/>
    <n v="28"/>
    <n v="450"/>
    <n v="12600"/>
  </r>
  <r>
    <n v="2021"/>
    <x v="4"/>
    <x v="6"/>
    <s v="26"/>
    <s v="Sevilla"/>
    <s v="Supermercados MAS"/>
    <s v="Aspiradora"/>
    <n v="65.874719704530904"/>
    <n v="793.036289499134"/>
    <n v="52241.043286276676"/>
  </r>
  <r>
    <n v="2021"/>
    <x v="4"/>
    <x v="2"/>
    <s v="27"/>
    <s v="Cordoba"/>
    <s v="El corte ingles"/>
    <s v="TV 32 pulgadas"/>
    <n v="86"/>
    <n v="1200"/>
    <n v="103200"/>
  </r>
  <r>
    <n v="2021"/>
    <x v="4"/>
    <x v="2"/>
    <s v="27"/>
    <s v="Huelva"/>
    <s v="El corte ingles"/>
    <s v="Aspiradora"/>
    <n v="57.6469019444176"/>
    <n v="822.33149340026205"/>
    <n v="47404.862965851396"/>
  </r>
  <r>
    <n v="2021"/>
    <x v="4"/>
    <x v="3"/>
    <s v="28"/>
    <s v="Jaen"/>
    <s v="Carrefour"/>
    <s v="Aspiradora"/>
    <n v="20"/>
    <n v="950"/>
    <n v="19000"/>
  </r>
  <r>
    <n v="2021"/>
    <x v="4"/>
    <x v="3"/>
    <s v="28"/>
    <s v="Asturias"/>
    <s v="Carrefour"/>
    <s v="Frigorifico"/>
    <n v="18"/>
    <n v="800"/>
    <n v="14400"/>
  </r>
  <r>
    <n v="2021"/>
    <x v="4"/>
    <x v="4"/>
    <s v="29"/>
    <s v="Albacete"/>
    <s v="Metromar"/>
    <s v="Home Cinema"/>
    <n v="50"/>
    <n v="650"/>
    <n v="32500"/>
  </r>
  <r>
    <n v="2021"/>
    <x v="4"/>
    <x v="4"/>
    <s v="29"/>
    <s v="Badajoz"/>
    <s v="El corte ingles"/>
    <s v="Aspiradora"/>
    <s v="01"/>
    <n v="820"/>
    <n v="820"/>
  </r>
  <r>
    <n v="2021"/>
    <x v="4"/>
    <x v="0"/>
    <s v="30"/>
    <s v="Sevilla"/>
    <s v="El corte ingles"/>
    <s v="Aspiradora"/>
    <n v="66.080414898533704"/>
    <n v="792.30390940360599"/>
    <n v="52355.77105912054"/>
  </r>
  <r>
    <n v="2021"/>
    <x v="5"/>
    <x v="1"/>
    <s v="02"/>
    <s v="Huelva"/>
    <s v="El corte ingles"/>
    <s v="Aspiradora"/>
    <n v="68.548757226567702"/>
    <n v="783.51534823126701"/>
    <n v="53709.003389194775"/>
  </r>
  <r>
    <n v="2021"/>
    <x v="5"/>
    <x v="4"/>
    <s v="06"/>
    <s v="Granada"/>
    <s v="C.C. Vicar"/>
    <s v="Lavadora 8 Kg"/>
    <n v="130"/>
    <n v="450"/>
    <n v="58500"/>
  </r>
  <r>
    <n v="2021"/>
    <x v="5"/>
    <x v="0"/>
    <s v="07"/>
    <s v="Murcia"/>
    <s v="Supermercados MAS"/>
    <s v="Frigorifico"/>
    <n v="14"/>
    <n v="800"/>
    <n v="11200"/>
  </r>
  <r>
    <n v="2021"/>
    <x v="5"/>
    <x v="0"/>
    <s v="07"/>
    <s v="Leon"/>
    <s v="El corte ingles"/>
    <s v="Frigorifico"/>
    <n v="14"/>
    <n v="800"/>
    <n v="11200"/>
  </r>
  <r>
    <n v="2021"/>
    <x v="5"/>
    <x v="5"/>
    <s v="08"/>
    <s v="Murcia"/>
    <s v="C.C. Nervion"/>
    <s v="Aspiradora"/>
    <n v="40"/>
    <n v="820"/>
    <n v="32800"/>
  </r>
  <r>
    <n v="2021"/>
    <x v="5"/>
    <x v="5"/>
    <s v="08"/>
    <s v="Almeria"/>
    <s v="C.C. Nervion"/>
    <s v="Frigorifico"/>
    <n v="29"/>
    <n v="800"/>
    <n v="23200"/>
  </r>
  <r>
    <n v="2021"/>
    <x v="5"/>
    <x v="6"/>
    <s v="10"/>
    <s v="Cordoba"/>
    <s v="Metromar"/>
    <s v="TV 32 pulgadas"/>
    <n v="63.529794492898603"/>
    <n v="803.38542261095495"/>
    <n v="51038.910797064462"/>
  </r>
  <r>
    <n v="2021"/>
    <x v="5"/>
    <x v="3"/>
    <s v="12"/>
    <s v="Sevilla"/>
    <s v="Supermercados MAS"/>
    <s v="Lavadora 8 Kg"/>
    <n v="65.545607394126407"/>
    <n v="794.20809765517902"/>
    <n v="52056.85215814237"/>
  </r>
  <r>
    <n v="2021"/>
    <x v="5"/>
    <x v="0"/>
    <s v="14"/>
    <s v="Cordoba"/>
    <s v="C.C. Vicar"/>
    <s v="Frigorifico"/>
    <n v="45"/>
    <n v="800"/>
    <n v="36000"/>
  </r>
  <r>
    <n v="2021"/>
    <x v="5"/>
    <x v="0"/>
    <s v="14"/>
    <s v="Zaragoza"/>
    <s v="C.C. Vicar"/>
    <s v="Aspiradora"/>
    <n v="29"/>
    <n v="820"/>
    <n v="23780"/>
  </r>
  <r>
    <n v="2021"/>
    <x v="5"/>
    <x v="5"/>
    <s v="15"/>
    <s v="Cordoba"/>
    <s v="Metromar"/>
    <s v="Frigorifico"/>
    <n v="1"/>
    <n v="800"/>
    <n v="800"/>
  </r>
  <r>
    <n v="2021"/>
    <x v="5"/>
    <x v="6"/>
    <s v="17"/>
    <s v="Tarragona"/>
    <s v="Carrefour"/>
    <s v="Lavadora 8 Kg"/>
    <n v="98"/>
    <n v="450"/>
    <n v="44100"/>
  </r>
  <r>
    <n v="2021"/>
    <x v="5"/>
    <x v="2"/>
    <s v="18"/>
    <s v="Murcia"/>
    <s v="El corte ingles"/>
    <s v="TV 32 pulgadas"/>
    <n v="109"/>
    <n v="1200"/>
    <n v="130800"/>
  </r>
  <r>
    <n v="2021"/>
    <x v="5"/>
    <x v="0"/>
    <s v="21"/>
    <s v="Huelva"/>
    <s v="C.C. Vicar"/>
    <s v="Lavadora 8 Kg"/>
    <n v="23"/>
    <n v="450"/>
    <n v="10350"/>
  </r>
  <r>
    <n v="2021"/>
    <x v="5"/>
    <x v="0"/>
    <s v="21"/>
    <s v="Granada"/>
    <s v="El corte ingles"/>
    <s v="TV 32 pulgadas"/>
    <n v="8"/>
    <n v="1200"/>
    <n v="9600"/>
  </r>
  <r>
    <n v="2021"/>
    <x v="5"/>
    <x v="0"/>
    <s v="21"/>
    <s v="Cadiz"/>
    <s v="C.C. Nervion"/>
    <s v="Frigorifico"/>
    <n v="49"/>
    <n v="800"/>
    <n v="39200"/>
  </r>
  <r>
    <n v="2021"/>
    <x v="5"/>
    <x v="5"/>
    <s v="22"/>
    <s v="Madrid"/>
    <s v="Carrefour"/>
    <s v="Aspiradora"/>
    <n v="6"/>
    <n v="950"/>
    <n v="5700"/>
  </r>
  <r>
    <n v="2021"/>
    <x v="5"/>
    <x v="5"/>
    <s v="22"/>
    <s v="Valladolid"/>
    <s v="Metromar"/>
    <s v="Aspiradora"/>
    <s v="011"/>
    <n v="950"/>
    <n v="10450"/>
  </r>
  <r>
    <n v="2021"/>
    <x v="5"/>
    <x v="1"/>
    <s v="23"/>
    <s v="Murcia"/>
    <s v="Metromar"/>
    <s v="Aspiradora"/>
    <n v="44"/>
    <n v="950"/>
    <n v="41800"/>
  </r>
  <r>
    <n v="2021"/>
    <x v="5"/>
    <x v="6"/>
    <s v="24"/>
    <s v="Huelva"/>
    <s v="Supermercados MAS"/>
    <s v="TV 32 pulgadas"/>
    <n v="57.564633866816401"/>
    <n v="822.62444543927302"/>
    <n v="47354.075011604633"/>
  </r>
  <r>
    <n v="2021"/>
    <x v="5"/>
    <x v="3"/>
    <s v="26"/>
    <s v="Jaen"/>
    <s v="El corte ingles"/>
    <s v="TV 32 pulgadas"/>
    <n v="59.950698017249302"/>
    <n v="814.12883630794602"/>
    <n v="48807.59201263226"/>
  </r>
  <r>
    <n v="2021"/>
    <x v="5"/>
    <x v="3"/>
    <s v="26"/>
    <s v="Toledo"/>
    <s v="Carrefour"/>
    <s v="Frigorifico"/>
    <n v="75"/>
    <n v="800"/>
    <n v="60000"/>
  </r>
  <r>
    <n v="2021"/>
    <x v="5"/>
    <x v="4"/>
    <s v="27"/>
    <s v="Tarragona"/>
    <s v="Supermercados MAS"/>
    <s v="Frigorifico"/>
    <n v="18"/>
    <n v="800"/>
    <n v="14400"/>
  </r>
  <r>
    <n v="2021"/>
    <x v="5"/>
    <x v="0"/>
    <s v="28"/>
    <s v="Cordoba"/>
    <s v="El corte ingles"/>
    <s v="Frigorifico"/>
    <n v="62.624735639286101"/>
    <n v="804.60789504007903"/>
    <n v="50388.356720167409"/>
  </r>
  <r>
    <n v="2021"/>
    <x v="5"/>
    <x v="5"/>
    <s v="29"/>
    <s v="Cordoba"/>
    <s v="C.C. Vicar"/>
    <s v="Home Cinema"/>
    <n v="57"/>
    <n v="650"/>
    <n v="37050"/>
  </r>
  <r>
    <n v="2021"/>
    <x v="5"/>
    <x v="6"/>
    <s v="31"/>
    <s v="Huelva"/>
    <s v="Supermercados MAS"/>
    <s v="TV 32 pulgadas"/>
    <n v="16"/>
    <n v="1200"/>
    <n v="19200"/>
  </r>
  <r>
    <n v="2021"/>
    <x v="5"/>
    <x v="6"/>
    <s v="31"/>
    <s v="Murcia"/>
    <s v="Supermercados MAS"/>
    <s v="Aspiradora"/>
    <n v="45"/>
    <n v="820"/>
    <n v="36900"/>
  </r>
  <r>
    <n v="2021"/>
    <x v="6"/>
    <x v="4"/>
    <s v="03"/>
    <s v="Albacete"/>
    <s v="C.C. Nervion"/>
    <s v="Aspiradora"/>
    <n v="13"/>
    <n v="820"/>
    <n v="10660"/>
  </r>
  <r>
    <n v="2021"/>
    <x v="6"/>
    <x v="3"/>
    <s v="02"/>
    <s v="Granada"/>
    <s v="C.C. Nervion"/>
    <s v="Lavadora 8 Kg"/>
    <n v="98"/>
    <n v="450"/>
    <n v="44100"/>
  </r>
  <r>
    <n v="2021"/>
    <x v="6"/>
    <x v="4"/>
    <s v="03"/>
    <s v="Tarragona"/>
    <s v="Carrefour"/>
    <s v="Aspiradora"/>
    <n v="37"/>
    <n v="820"/>
    <n v="30340"/>
  </r>
  <r>
    <n v="2021"/>
    <x v="6"/>
    <x v="4"/>
    <s v="03"/>
    <s v="Lerida"/>
    <s v="C.C. Vicar"/>
    <s v="Lavadora 8 Kg"/>
    <n v="75"/>
    <n v="450"/>
    <n v="33750"/>
  </r>
  <r>
    <n v="2021"/>
    <x v="6"/>
    <x v="5"/>
    <s v="05"/>
    <s v="Leon"/>
    <s v="Metromar"/>
    <s v="TV 32 pulgadas"/>
    <n v="54"/>
    <n v="1200"/>
    <n v="64800"/>
  </r>
  <r>
    <n v="2021"/>
    <x v="6"/>
    <x v="6"/>
    <s v="07"/>
    <s v="Albacete"/>
    <s v="El corte ingles"/>
    <s v="Frigorifico"/>
    <n v="81"/>
    <n v="800"/>
    <n v="64800"/>
  </r>
  <r>
    <n v="2021"/>
    <x v="6"/>
    <x v="3"/>
    <s v="09"/>
    <s v="Badajoz"/>
    <s v="C.C. Vicar"/>
    <s v="Frigorifico"/>
    <n v="52"/>
    <n v="800"/>
    <n v="41600"/>
  </r>
  <r>
    <n v="2021"/>
    <x v="6"/>
    <x v="4"/>
    <s v="10"/>
    <s v="Sevilla"/>
    <s v="Metromar"/>
    <s v="Frigorifico"/>
    <n v="70"/>
    <n v="800"/>
    <n v="56000"/>
  </r>
  <r>
    <n v="2021"/>
    <x v="6"/>
    <x v="4"/>
    <s v="10"/>
    <s v="Cordoba"/>
    <s v="Supermercados MAS"/>
    <s v="TV 32 pulgadas"/>
    <n v="6"/>
    <n v="1200"/>
    <n v="7200"/>
  </r>
  <r>
    <n v="2021"/>
    <x v="6"/>
    <x v="5"/>
    <s v="12"/>
    <s v="Cordoba"/>
    <s v="C.C. Nervion"/>
    <s v="Aspiradora"/>
    <n v="63.735489686903399"/>
    <n v="800.65304251342695"/>
    <n v="51030.013733902349"/>
  </r>
  <r>
    <n v="2021"/>
    <x v="6"/>
    <x v="5"/>
    <s v="12"/>
    <s v="Tarragona"/>
    <s v="El corte ingles"/>
    <s v="Home Cinema"/>
    <n v="78"/>
    <n v="650"/>
    <n v="50700"/>
  </r>
  <r>
    <n v="2021"/>
    <x v="6"/>
    <x v="6"/>
    <s v="14"/>
    <s v="Tarragona"/>
    <s v="Metromar"/>
    <s v="Frigorifico"/>
    <n v="58"/>
    <n v="800"/>
    <n v="46400"/>
  </r>
  <r>
    <n v="2021"/>
    <x v="6"/>
    <x v="3"/>
    <s v="16"/>
    <s v="Toledo"/>
    <s v="C.C. Vicar"/>
    <s v="Lavadora 8 Kg"/>
    <s v="016"/>
    <n v="450"/>
    <n v="7200"/>
  </r>
  <r>
    <n v="2021"/>
    <x v="6"/>
    <x v="4"/>
    <s v="17"/>
    <s v="Sevilla"/>
    <s v="C.C. Vicar"/>
    <s v="Frigorifico"/>
    <n v="65.627885471727495"/>
    <n v="793.91514561616805"/>
    <n v="52102.972250767736"/>
  </r>
  <r>
    <n v="2021"/>
    <x v="6"/>
    <x v="4"/>
    <s v="17"/>
    <s v="Toledo"/>
    <s v="C.C. Vicar"/>
    <s v="Aspiradora"/>
    <n v="125"/>
    <n v="820"/>
    <n v="102500"/>
  </r>
  <r>
    <n v="2021"/>
    <x v="6"/>
    <x v="0"/>
    <s v="18"/>
    <s v="Albacete"/>
    <s v="El corte ingles"/>
    <s v="Lavadora 8 Kg"/>
    <n v="71"/>
    <n v="450"/>
    <n v="31950"/>
  </r>
  <r>
    <n v="2021"/>
    <x v="6"/>
    <x v="5"/>
    <s v="19"/>
    <s v="Asturias"/>
    <s v="El corte ingles"/>
    <s v="Frigorifico"/>
    <n v="29"/>
    <n v="800"/>
    <n v="23200"/>
  </r>
  <r>
    <n v="2021"/>
    <x v="6"/>
    <x v="6"/>
    <s v="21"/>
    <s v="Huelva"/>
    <s v="Metromar"/>
    <s v="Frigorifico"/>
    <n v="58.757665992032898"/>
    <n v="818.37664087360997"/>
    <n v="48085.901320133431"/>
  </r>
  <r>
    <n v="2021"/>
    <x v="6"/>
    <x v="0"/>
    <s v="25"/>
    <s v="Lerida"/>
    <s v="Carrefour"/>
    <s v="Frigorifico"/>
    <n v="126"/>
    <n v="800"/>
    <n v="100800"/>
  </r>
  <r>
    <n v="2021"/>
    <x v="6"/>
    <x v="5"/>
    <s v="26"/>
    <s v="Almeria"/>
    <s v="C.C. Vicar"/>
    <s v="Lavadora 8 Kg"/>
    <n v="31"/>
    <n v="450"/>
    <n v="13950"/>
  </r>
  <r>
    <n v="2021"/>
    <x v="6"/>
    <x v="1"/>
    <s v="27"/>
    <s v="Zaragoza"/>
    <s v="El corte ingles"/>
    <s v="Aspiradora"/>
    <n v="57"/>
    <n v="820"/>
    <n v="46740"/>
  </r>
  <r>
    <n v="2021"/>
    <x v="6"/>
    <x v="1"/>
    <s v="27"/>
    <s v="Lerida"/>
    <s v="Carrefour"/>
    <s v="Aspiradora"/>
    <n v="36"/>
    <n v="820"/>
    <n v="29520"/>
  </r>
  <r>
    <n v="2021"/>
    <x v="6"/>
    <x v="4"/>
    <s v="31"/>
    <s v="Huelva"/>
    <s v="El corte ingles"/>
    <s v="Frigorifico"/>
    <n v="107"/>
    <n v="800"/>
    <n v="85600"/>
  </r>
  <r>
    <n v="2021"/>
    <x v="6"/>
    <x v="4"/>
    <s v="31"/>
    <s v="Madrid"/>
    <s v="Carrefour"/>
    <s v="Frigorifico"/>
    <n v="12"/>
    <n v="800"/>
    <n v="9600"/>
  </r>
  <r>
    <n v="2021"/>
    <x v="7"/>
    <x v="1"/>
    <s v="03"/>
    <s v="Cadiz"/>
    <s v="Metromar"/>
    <s v="Frigorifico"/>
    <n v="141"/>
    <n v="800"/>
    <n v="112800"/>
  </r>
  <r>
    <n v="2021"/>
    <x v="7"/>
    <x v="5"/>
    <s v="02"/>
    <s v="Malaga"/>
    <s v="C.C. Vicar"/>
    <s v="Frigorifico"/>
    <n v="65.175356044921301"/>
    <n v="795.52638183072997"/>
    <n v="51848.715178945837"/>
  </r>
  <r>
    <n v="2021"/>
    <x v="7"/>
    <x v="1"/>
    <s v="03"/>
    <s v="Cadiz"/>
    <s v="Metromar"/>
    <s v="Frigorifico"/>
    <n v="150"/>
    <n v="800"/>
    <n v="120000"/>
  </r>
  <r>
    <n v="2021"/>
    <x v="7"/>
    <x v="6"/>
    <s v="04"/>
    <s v="Asturias"/>
    <s v="Metromar"/>
    <s v="Aspiradora"/>
    <n v="35"/>
    <n v="950"/>
    <n v="33250"/>
  </r>
  <r>
    <n v="2021"/>
    <x v="7"/>
    <x v="2"/>
    <s v="05"/>
    <s v="Madrid"/>
    <s v="Carrefour"/>
    <s v="Frigorifico"/>
    <n v="6"/>
    <n v="800"/>
    <n v="4800"/>
  </r>
  <r>
    <n v="2021"/>
    <x v="7"/>
    <x v="4"/>
    <s v="07"/>
    <s v="Zaragoza"/>
    <s v="Supermercados MAS"/>
    <s v="Frigorifico"/>
    <n v="6"/>
    <n v="800"/>
    <n v="14400"/>
  </r>
  <r>
    <n v="2021"/>
    <x v="7"/>
    <x v="4"/>
    <s v="07"/>
    <s v="Toledo"/>
    <s v="Metromar"/>
    <s v="Lavadora 8 Kg"/>
    <n v="6"/>
    <n v="450"/>
    <n v="2700"/>
  </r>
  <r>
    <n v="2021"/>
    <x v="7"/>
    <x v="0"/>
    <s v="08"/>
    <s v="Jaen"/>
    <s v="C.C. Nervion"/>
    <s v="Frigorifico"/>
    <n v="18"/>
    <n v="800"/>
    <n v="14400"/>
  </r>
  <r>
    <n v="2021"/>
    <x v="7"/>
    <x v="0"/>
    <s v="08"/>
    <s v="Leon"/>
    <s v="C.C. Nervion"/>
    <s v="Frigorifico"/>
    <n v="32"/>
    <n v="800"/>
    <n v="25600"/>
  </r>
  <r>
    <n v="2021"/>
    <x v="7"/>
    <x v="5"/>
    <s v="09"/>
    <s v="Jaen"/>
    <s v="C.C. Nervion"/>
    <s v="Home Cinema"/>
    <n v="90"/>
    <n v="650"/>
    <n v="58500"/>
  </r>
  <r>
    <n v="2021"/>
    <x v="7"/>
    <x v="1"/>
    <s v="10"/>
    <s v="Sevilla"/>
    <s v="Carrefour"/>
    <s v="Home Cinema"/>
    <n v="56.083628469996"/>
    <n v="827.89758214147605"/>
    <n v="46431.500408030537"/>
  </r>
  <r>
    <n v="2021"/>
    <x v="7"/>
    <x v="0"/>
    <s v="01"/>
    <s v="Huelva"/>
    <s v="El corte ingles"/>
    <s v="Frigorifico"/>
    <n v="7"/>
    <n v="800"/>
    <n v="5600"/>
  </r>
  <r>
    <n v="2021"/>
    <x v="7"/>
    <x v="0"/>
    <s v="01"/>
    <s v="Jaen"/>
    <s v="C.C. Vicar"/>
    <s v="Frigorifico"/>
    <n v="61.3494254364686"/>
    <n v="809.14865164475395"/>
    <n v="49640.804871098939"/>
  </r>
  <r>
    <n v="2021"/>
    <x v="7"/>
    <x v="0"/>
    <s v="01"/>
    <s v="Albacete"/>
    <s v="C.C. Nervion"/>
    <s v="Home Cinema"/>
    <n v="42"/>
    <n v="650"/>
    <n v="27300"/>
  </r>
  <r>
    <n v="2021"/>
    <x v="7"/>
    <x v="3"/>
    <s v="13"/>
    <s v="Madrid"/>
    <s v="C.C. Vicar"/>
    <s v="Frigorifico"/>
    <n v="197"/>
    <n v="800"/>
    <n v="157600"/>
  </r>
  <r>
    <n v="2021"/>
    <x v="7"/>
    <x v="4"/>
    <s v="13"/>
    <s v="Leon"/>
    <s v="Metromar"/>
    <s v="TV 32 pulgadas"/>
    <n v="176"/>
    <n v="1200"/>
    <n v="4800"/>
  </r>
  <r>
    <n v="2021"/>
    <x v="7"/>
    <x v="0"/>
    <s v="15"/>
    <s v="Sevilla"/>
    <s v="El corte ingles"/>
    <s v="TV 32 pulgadas"/>
    <n v="57.029826362409104"/>
    <n v="824.52863369284603"/>
    <n v="47022.72481033743"/>
  </r>
  <r>
    <n v="2021"/>
    <x v="7"/>
    <x v="5"/>
    <s v="16"/>
    <s v="Albacete"/>
    <s v="Metromar"/>
    <s v="TV 32 pulgadas"/>
    <n v="41"/>
    <n v="1200"/>
    <n v="49200"/>
  </r>
  <r>
    <n v="2021"/>
    <x v="7"/>
    <x v="5"/>
    <s v="16"/>
    <s v="Caceres"/>
    <s v="El corte ingles"/>
    <s v="Aspiradora"/>
    <n v="70"/>
    <n v="820"/>
    <n v="57400"/>
  </r>
  <r>
    <n v="2021"/>
    <x v="7"/>
    <x v="2"/>
    <s v="19"/>
    <s v="Asturias"/>
    <s v="El corte ingles"/>
    <s v="Lavadora 8 Kg"/>
    <n v="36"/>
    <n v="450"/>
    <n v="16200"/>
  </r>
  <r>
    <n v="2021"/>
    <x v="7"/>
    <x v="3"/>
    <s v="20"/>
    <s v="Huelva"/>
    <s v="C.C. Vicar"/>
    <s v="TV 32 pulgadas"/>
    <n v="161"/>
    <n v="1200"/>
    <n v="193200"/>
  </r>
  <r>
    <n v="2021"/>
    <x v="7"/>
    <x v="3"/>
    <s v="20"/>
    <s v="Tarragona"/>
    <s v="Supermercados MAS"/>
    <s v="Aspiradora"/>
    <n v="43"/>
    <n v="820"/>
    <n v="35260"/>
  </r>
  <r>
    <n v="2021"/>
    <x v="7"/>
    <x v="3"/>
    <s v="20"/>
    <s v="Leon"/>
    <s v="Carrefour"/>
    <s v="Aspiradora"/>
    <n v="20"/>
    <n v="820"/>
    <n v="16400"/>
  </r>
  <r>
    <n v="2021"/>
    <x v="7"/>
    <x v="0"/>
    <s v="22"/>
    <s v="Almeria"/>
    <s v="C.C. Nervion"/>
    <s v="Aspiradora"/>
    <n v="3"/>
    <n v="820"/>
    <n v="2460"/>
  </r>
  <r>
    <n v="2021"/>
    <x v="7"/>
    <x v="0"/>
    <s v="22"/>
    <s v="Toledo"/>
    <s v="El corte ingles"/>
    <s v="Frigorifico"/>
    <n v="3"/>
    <n v="800"/>
    <n v="2400"/>
  </r>
  <r>
    <n v="2021"/>
    <x v="7"/>
    <x v="5"/>
    <s v="23"/>
    <s v="Sevilla"/>
    <s v="Supermercados MAS"/>
    <s v="Lavadora 8 Kg"/>
    <n v="55.178569616383598"/>
    <n v="831.12005457060002"/>
    <n v="45860.015790696387"/>
  </r>
  <r>
    <n v="2021"/>
    <x v="7"/>
    <x v="5"/>
    <s v="23"/>
    <s v="Murcia"/>
    <s v="El corte ingles"/>
    <s v="Aspiradora"/>
    <n v="28"/>
    <n v="950"/>
    <n v="26600"/>
  </r>
  <r>
    <n v="2021"/>
    <x v="7"/>
    <x v="5"/>
    <s v="23"/>
    <s v="Asturias"/>
    <s v="C.C. Nervion"/>
    <s v="Lavadora 8 Kg"/>
    <n v="19"/>
    <n v="450"/>
    <n v="8550"/>
  </r>
  <r>
    <n v="2021"/>
    <x v="7"/>
    <x v="3"/>
    <s v="27"/>
    <s v="Leon"/>
    <s v="C.C. Nervion"/>
    <s v="TV 32 pulgadas"/>
    <n v="47"/>
    <n v="1200"/>
    <n v="56400"/>
  </r>
  <r>
    <n v="2021"/>
    <x v="8"/>
    <x v="2"/>
    <s v="03"/>
    <s v="Caceres"/>
    <s v="C.C. Vicar"/>
    <s v="TV 32 pulgadas"/>
    <n v="66"/>
    <n v="1200"/>
    <n v="79200"/>
  </r>
  <r>
    <n v="2021"/>
    <x v="8"/>
    <x v="6"/>
    <s v="02"/>
    <s v="Cordoba"/>
    <s v="Carrefour"/>
    <s v="Home Cinema"/>
    <n v="62.377903406482702"/>
    <n v="805.48675015701303"/>
    <n v="50244.574696495823"/>
  </r>
  <r>
    <n v="2021"/>
    <x v="8"/>
    <x v="2"/>
    <s v="03"/>
    <s v="Madrid"/>
    <s v="Supermercados MAS"/>
    <s v="Lavadora 8 Kg"/>
    <n v="18"/>
    <n v="450"/>
    <n v="8100"/>
  </r>
  <r>
    <n v="2021"/>
    <x v="8"/>
    <x v="3"/>
    <s v="04"/>
    <s v="Jaen"/>
    <s v="Supermercados MAS"/>
    <s v="Aspiradora"/>
    <n v="14"/>
    <n v="820"/>
    <n v="11480"/>
  </r>
  <r>
    <n v="2021"/>
    <x v="8"/>
    <x v="4"/>
    <s v="05"/>
    <s v="Madrid"/>
    <s v="Carrefour"/>
    <s v="Home Cinema"/>
    <n v="145"/>
    <n v="650"/>
    <n v="94250"/>
  </r>
  <r>
    <n v="2021"/>
    <x v="8"/>
    <x v="4"/>
    <s v="05"/>
    <s v="Caceres"/>
    <s v="Supermercados MAS"/>
    <s v="Aspiradora"/>
    <n v="6"/>
    <n v="950"/>
    <n v="5700"/>
  </r>
  <r>
    <n v="2021"/>
    <x v="8"/>
    <x v="0"/>
    <s v="06"/>
    <s v="Madrid"/>
    <s v="C.C. Nervion"/>
    <s v="Home Cinema"/>
    <n v="3"/>
    <n v="650"/>
    <n v="1950"/>
  </r>
  <r>
    <n v="2021"/>
    <x v="8"/>
    <x v="0"/>
    <s v="06"/>
    <s v="Asturias"/>
    <s v="C.C. Nervion"/>
    <s v="TV 32 pulgadas"/>
    <n v="55"/>
    <n v="1200"/>
    <n v="66000"/>
  </r>
  <r>
    <n v="2021"/>
    <x v="8"/>
    <x v="6"/>
    <s v="09"/>
    <s v="Tarragona"/>
    <s v="Supermercados MAS"/>
    <s v="Aspiradora"/>
    <n v="1"/>
    <n v="820"/>
    <n v="820"/>
  </r>
  <r>
    <n v="2021"/>
    <x v="8"/>
    <x v="2"/>
    <s v="10"/>
    <s v="Sevilla"/>
    <s v="Metromar"/>
    <s v="Frigorifico"/>
    <n v="38"/>
    <n v="800"/>
    <n v="30400"/>
  </r>
  <r>
    <n v="2021"/>
    <x v="8"/>
    <x v="2"/>
    <s v="10"/>
    <s v="Granada"/>
    <s v="Supermercados MAS"/>
    <s v="Frigorifico"/>
    <n v="5"/>
    <n v="800"/>
    <n v="4000"/>
  </r>
  <r>
    <n v="2021"/>
    <x v="8"/>
    <x v="2"/>
    <s v="10"/>
    <s v="Lerida"/>
    <s v="C.C. Vicar"/>
    <s v="Aspiradora"/>
    <n v="20"/>
    <n v="820"/>
    <n v="16400"/>
  </r>
  <r>
    <n v="2021"/>
    <x v="8"/>
    <x v="1"/>
    <s v="01"/>
    <s v="Cordoba"/>
    <s v="El corte ingles"/>
    <s v="Aspiradora"/>
    <n v="64.229158152508205"/>
    <n v="798.89533027936"/>
    <n v="51312.374515813288"/>
  </r>
  <r>
    <n v="2021"/>
    <x v="8"/>
    <x v="5"/>
    <s v="14"/>
    <s v="Sevilla"/>
    <s v="C.C. Nervion"/>
    <s v="Frigorifico"/>
    <n v="4"/>
    <n v="800"/>
    <n v="3200"/>
  </r>
  <r>
    <n v="2021"/>
    <x v="8"/>
    <x v="1"/>
    <s v="15"/>
    <s v="Zaragoza"/>
    <s v="C.C. Vicar"/>
    <s v="Aspiradora"/>
    <n v="78"/>
    <n v="820"/>
    <n v="63960"/>
  </r>
  <r>
    <n v="2021"/>
    <x v="8"/>
    <x v="1"/>
    <s v="15"/>
    <s v="Murcia"/>
    <s v="El corte ingles"/>
    <s v="Frigorifico"/>
    <n v="7"/>
    <n v="800"/>
    <n v="5600"/>
  </r>
  <r>
    <n v="2021"/>
    <x v="8"/>
    <x v="2"/>
    <s v="17"/>
    <s v="Cordoba"/>
    <s v="Supermercados MAS"/>
    <s v="Lavadora 8 Kg"/>
    <n v="29"/>
    <n v="450"/>
    <n v="13050"/>
  </r>
  <r>
    <n v="2021"/>
    <x v="8"/>
    <x v="2"/>
    <s v="17"/>
    <s v="Huelva"/>
    <s v="El corte ingles"/>
    <s v="Aspiradora"/>
    <n v="58.1817194488249"/>
    <n v="820.42730514668801"/>
    <n v="47733.871296200057"/>
  </r>
  <r>
    <n v="2021"/>
    <x v="8"/>
    <x v="2"/>
    <s v="17"/>
    <s v="Cadiz"/>
    <s v="C.C. Vicar"/>
    <s v="Aspiradora"/>
    <n v="49"/>
    <n v="820"/>
    <n v="40180"/>
  </r>
  <r>
    <n v="2021"/>
    <x v="8"/>
    <x v="3"/>
    <s v="18"/>
    <s v="Albacete"/>
    <s v="C.C. Vicar"/>
    <s v="Aspiradora"/>
    <n v="173"/>
    <n v="950"/>
    <n v="164350"/>
  </r>
  <r>
    <n v="2021"/>
    <x v="8"/>
    <x v="3"/>
    <s v="18"/>
    <s v="Murcia"/>
    <s v="C.C. Vicar"/>
    <s v="Frigorifico"/>
    <n v="267"/>
    <n v="800"/>
    <n v="213600"/>
  </r>
  <r>
    <n v="2021"/>
    <x v="8"/>
    <x v="0"/>
    <s v="20"/>
    <s v="Madrid"/>
    <s v="Metromar"/>
    <s v="TV 32 pulgadas"/>
    <n v="73"/>
    <n v="1200"/>
    <n v="87600"/>
  </r>
  <r>
    <n v="2021"/>
    <x v="8"/>
    <x v="5"/>
    <s v="21"/>
    <s v="Huelva"/>
    <s v="C.C. Vicar"/>
    <s v="Aspiradora"/>
    <n v="68.055088760960899"/>
    <n v="785.27306046533499"/>
    <n v="53441.827831559785"/>
  </r>
  <r>
    <n v="2021"/>
    <x v="8"/>
    <x v="6"/>
    <s v="23"/>
    <s v="Sevilla"/>
    <s v="C.C. Vicar"/>
    <s v="TV 32 pulgadas"/>
    <n v="67.2323079849496"/>
    <n v="788.20258085544799"/>
    <n v="52992.678670605615"/>
  </r>
  <r>
    <n v="2021"/>
    <x v="8"/>
    <x v="3"/>
    <s v="25"/>
    <s v="Jaen"/>
    <s v="Metromar"/>
    <s v="Frigorifico"/>
    <n v="38"/>
    <n v="800"/>
    <n v="30400"/>
  </r>
  <r>
    <n v="2021"/>
    <x v="8"/>
    <x v="4"/>
    <s v="26"/>
    <s v="Asturias"/>
    <s v="Metromar"/>
    <s v="Aspiradora"/>
    <n v="32"/>
    <n v="950"/>
    <n v="30400"/>
  </r>
  <r>
    <n v="2021"/>
    <x v="8"/>
    <x v="5"/>
    <s v="28"/>
    <s v="Cadiz"/>
    <s v="Supermercados MAS"/>
    <s v="Aspiradora"/>
    <n v="4"/>
    <n v="820"/>
    <n v="3280"/>
  </r>
  <r>
    <n v="2021"/>
    <x v="8"/>
    <x v="2"/>
    <s v="31"/>
    <s v="Huelva"/>
    <s v="C.C. Nervion"/>
    <s v="Home Cinema"/>
    <n v="59.703863884445902"/>
    <n v="815.00769242497995"/>
    <n v="48659.108333317352"/>
  </r>
  <r>
    <n v="2021"/>
    <x v="8"/>
    <x v="2"/>
    <s v="31"/>
    <s v="Cordoba"/>
    <s v="Metromar"/>
    <s v="Frigorifico"/>
    <n v="64.887382773317299"/>
    <n v="796.55171396726905"/>
    <n v="51686.155962936144"/>
  </r>
  <r>
    <n v="2021"/>
    <x v="8"/>
    <x v="2"/>
    <s v="31"/>
    <s v="Zaragoza"/>
    <s v="Metromar"/>
    <s v="Home Cinema"/>
    <n v="4"/>
    <n v="650"/>
    <n v="2600"/>
  </r>
  <r>
    <n v="2021"/>
    <x v="8"/>
    <x v="2"/>
    <s v="31"/>
    <s v="Caceres"/>
    <s v="C.C. Nervion"/>
    <s v="TV 32 pulgadas"/>
    <n v="28"/>
    <n v="1200"/>
    <n v="33600"/>
  </r>
  <r>
    <n v="2021"/>
    <x v="9"/>
    <x v="6"/>
    <s v="02"/>
    <s v="Cadiz"/>
    <s v="Carrefour"/>
    <s v="Lavadora 8 Kg"/>
    <n v="165"/>
    <n v="450"/>
    <n v="74250"/>
  </r>
  <r>
    <n v="2021"/>
    <x v="9"/>
    <x v="0"/>
    <s v="06"/>
    <s v="Badajoz"/>
    <s v="C.C. Nervion"/>
    <s v="Aspiradora"/>
    <n v="2"/>
    <n v="820"/>
    <n v="1640"/>
  </r>
  <r>
    <n v="2021"/>
    <x v="9"/>
    <x v="1"/>
    <s v="08"/>
    <s v="Toledo"/>
    <s v="Metromar"/>
    <s v="Lavadora 8 Kg"/>
    <n v="27"/>
    <n v="450"/>
    <n v="12150"/>
  </r>
  <r>
    <n v="2021"/>
    <x v="9"/>
    <x v="2"/>
    <s v="10"/>
    <s v="Sevilla"/>
    <s v="El corte ingles"/>
    <s v="TV 32 pulgadas"/>
    <n v="55.631099043189799"/>
    <n v="829.50881835603798"/>
    <n v="46146.487231164087"/>
  </r>
  <r>
    <n v="2021"/>
    <x v="9"/>
    <x v="1"/>
    <s v="01"/>
    <s v="Asturias"/>
    <s v="C.C. Vicar"/>
    <s v="Frigorifico"/>
    <n v="199"/>
    <n v="800"/>
    <n v="159200"/>
  </r>
  <r>
    <n v="2021"/>
    <x v="9"/>
    <x v="0"/>
    <s v="13"/>
    <s v="Tarragona"/>
    <s v="Carrefour"/>
    <s v="Frigorifico"/>
    <n v="1"/>
    <n v="800"/>
    <n v="800"/>
  </r>
  <r>
    <n v="2021"/>
    <x v="9"/>
    <x v="5"/>
    <s v="14"/>
    <s v="Asturias"/>
    <s v="Metromar"/>
    <s v="Frigorifico"/>
    <n v="23"/>
    <n v="800"/>
    <n v="18400"/>
  </r>
  <r>
    <n v="2021"/>
    <x v="9"/>
    <x v="1"/>
    <s v="15"/>
    <s v="Huelva"/>
    <s v="Metromar"/>
    <s v="Lavadora 8 Kg"/>
    <n v="59.292473496440202"/>
    <n v="816.47245262003605"/>
    <n v="48410.671257547016"/>
  </r>
  <r>
    <n v="2021"/>
    <x v="9"/>
    <x v="1"/>
    <s v="15"/>
    <s v="Leon"/>
    <s v="C.C. Nervion"/>
    <s v="TV 32 pulgadas"/>
    <n v="21"/>
    <n v="1200"/>
    <n v="25200"/>
  </r>
  <r>
    <n v="2021"/>
    <x v="9"/>
    <x v="6"/>
    <s v="16"/>
    <s v="Sevilla"/>
    <s v="C.C. Nervion"/>
    <s v="TV 32 pulgadas"/>
    <n v="54.931735383580197"/>
    <n v="831.99891068763395"/>
    <n v="45703.144001320084"/>
  </r>
  <r>
    <n v="2021"/>
    <x v="9"/>
    <x v="6"/>
    <s v="16"/>
    <s v="Huelva"/>
    <s v="C.C. Vicar"/>
    <s v="Frigorifico"/>
    <n v="59.4570296516425"/>
    <n v="815.88654854202105"/>
    <n v="48510.190709039205"/>
  </r>
  <r>
    <n v="2021"/>
    <x v="9"/>
    <x v="2"/>
    <s v="17"/>
    <s v="Madrid"/>
    <s v="Carrefour"/>
    <s v="Aspiradora"/>
    <n v="18"/>
    <n v="950"/>
    <n v="17100"/>
  </r>
  <r>
    <n v="2021"/>
    <x v="9"/>
    <x v="4"/>
    <s v="19"/>
    <s v="Toledo"/>
    <s v="Supermercados MAS"/>
    <s v="Aspiradora"/>
    <n v="18"/>
    <n v="820"/>
    <n v="14760"/>
  </r>
  <r>
    <n v="2021"/>
    <x v="9"/>
    <x v="0"/>
    <s v="20"/>
    <s v="Cadiz"/>
    <s v="El corte ingles"/>
    <s v="Aspiradora"/>
    <n v="46"/>
    <n v="820"/>
    <n v="37720"/>
  </r>
  <r>
    <n v="2021"/>
    <x v="9"/>
    <x v="0"/>
    <s v="20"/>
    <s v="Cadiz"/>
    <s v="El corte ingles"/>
    <s v="Frigorifico"/>
    <n v="9"/>
    <n v="800"/>
    <n v="7200"/>
  </r>
  <r>
    <n v="2021"/>
    <x v="9"/>
    <x v="1"/>
    <s v="22"/>
    <s v="Zaragoza"/>
    <s v="Carrefour"/>
    <s v="Aspiradora"/>
    <s v="014"/>
    <n v="820"/>
    <n v="11480"/>
  </r>
  <r>
    <n v="2021"/>
    <x v="9"/>
    <x v="6"/>
    <s v="23"/>
    <s v="Sevilla"/>
    <s v="Carrefour"/>
    <s v="Frigorifico"/>
    <n v="66.738639519342797"/>
    <n v="789.96029308951495"/>
    <n v="52720.875235095518"/>
  </r>
  <r>
    <n v="2021"/>
    <x v="9"/>
    <x v="5"/>
    <s v="28"/>
    <s v="Murcia"/>
    <s v="C.C. Nervion"/>
    <s v="Home Cinema"/>
    <n v="1"/>
    <n v="650"/>
    <n v="650"/>
  </r>
  <r>
    <n v="2021"/>
    <x v="9"/>
    <x v="1"/>
    <s v="29"/>
    <s v="Madrid"/>
    <s v="Metromar"/>
    <s v="Frigorifico"/>
    <n v="32"/>
    <n v="800"/>
    <n v="25600"/>
  </r>
  <r>
    <n v="2021"/>
    <x v="9"/>
    <x v="1"/>
    <s v="29"/>
    <s v="Madrid"/>
    <s v="Carrefour"/>
    <s v="Home Cinema"/>
    <n v="249"/>
    <n v="650"/>
    <n v="161850"/>
  </r>
  <r>
    <n v="2021"/>
    <x v="9"/>
    <x v="1"/>
    <s v="29"/>
    <s v="Almeria"/>
    <s v="El corte ingles"/>
    <s v="Home Cinema"/>
    <n v="41"/>
    <n v="650"/>
    <n v="26650"/>
  </r>
  <r>
    <n v="2021"/>
    <x v="9"/>
    <x v="6"/>
    <s v="30"/>
    <s v="Albacete"/>
    <s v="El corte ingles"/>
    <s v="Frigorifico"/>
    <n v="45"/>
    <n v="800"/>
    <n v="36000"/>
  </r>
  <r>
    <n v="2021"/>
    <x v="10"/>
    <x v="1"/>
    <s v="03"/>
    <s v="Huelva"/>
    <s v="El corte ingles"/>
    <s v="Aspiradora"/>
    <n v="10"/>
    <n v="820"/>
    <n v="8200"/>
  </r>
  <r>
    <n v="2021"/>
    <x v="10"/>
    <x v="1"/>
    <s v="03"/>
    <s v="Leon"/>
    <s v="Carrefour"/>
    <s v="Lavadora 8 Kg"/>
    <n v="55"/>
    <n v="450"/>
    <n v="24750"/>
  </r>
  <r>
    <n v="2021"/>
    <x v="10"/>
    <x v="1"/>
    <s v="03"/>
    <s v="Caceres"/>
    <s v="El corte ingles"/>
    <s v="Frigorifico"/>
    <n v="27"/>
    <n v="800"/>
    <n v="21600"/>
  </r>
  <r>
    <n v="2021"/>
    <x v="10"/>
    <x v="5"/>
    <s v="02"/>
    <s v="Granada"/>
    <s v="Carrefour"/>
    <s v="Aspiradora"/>
    <n v="75"/>
    <n v="950"/>
    <n v="71250"/>
  </r>
  <r>
    <n v="2021"/>
    <x v="10"/>
    <x v="0"/>
    <s v="08"/>
    <s v="Sevilla"/>
    <s v="El corte ingles"/>
    <s v="Aspiradora"/>
    <s v="016"/>
    <n v="950"/>
    <n v="15200"/>
  </r>
  <r>
    <n v="2021"/>
    <x v="10"/>
    <x v="5"/>
    <s v="09"/>
    <s v="Huelva"/>
    <s v="C.C. Vicar"/>
    <s v="TV 32 pulgadas"/>
    <n v="58.346275604027198"/>
    <n v="819.84140306866595"/>
    <n v="47834.692455036733"/>
  </r>
  <r>
    <n v="2021"/>
    <x v="10"/>
    <x v="1"/>
    <s v="10"/>
    <s v="Badajoz"/>
    <s v="El corte ingles"/>
    <s v="Frigorifico"/>
    <n v="18"/>
    <n v="800"/>
    <n v="14400"/>
  </r>
  <r>
    <n v="2021"/>
    <x v="10"/>
    <x v="1"/>
    <s v="10"/>
    <s v="Caceres"/>
    <s v="Metromar"/>
    <s v="Lavadora 8 Kg"/>
    <n v="39"/>
    <n v="450"/>
    <n v="17550"/>
  </r>
  <r>
    <n v="2021"/>
    <x v="10"/>
    <x v="0"/>
    <s v="01"/>
    <s v="Zaragoza"/>
    <s v="C.C. Nervion"/>
    <s v="TV 32 pulgadas"/>
    <n v="3"/>
    <n v="1200"/>
    <n v="3600"/>
  </r>
  <r>
    <n v="2021"/>
    <x v="10"/>
    <x v="2"/>
    <s v="12"/>
    <s v="Sevilla"/>
    <s v="Carrefour"/>
    <s v="Aspiradora"/>
    <n v="58"/>
    <n v="820"/>
    <n v="47560"/>
  </r>
  <r>
    <n v="2021"/>
    <x v="10"/>
    <x v="3"/>
    <s v="13"/>
    <s v="Huelva"/>
    <s v="C.C. Vicar"/>
    <s v="Lavadora 8 Kg"/>
    <n v="68.589896265368296"/>
    <n v="783.36887220176197"/>
    <n v="53731.189681837408"/>
  </r>
  <r>
    <n v="2021"/>
    <x v="10"/>
    <x v="3"/>
    <s v="13"/>
    <s v="Caceres"/>
    <s v="C.C. Vicar"/>
    <s v="Lavadora 8 Kg"/>
    <n v="70"/>
    <n v="450"/>
    <n v="31500"/>
  </r>
  <r>
    <n v="2021"/>
    <x v="10"/>
    <x v="5"/>
    <s v="16"/>
    <s v="Jaen"/>
    <s v="El corte ingles"/>
    <s v="Aspiradora"/>
    <n v="60.526644660457201"/>
    <n v="812.07817203486695"/>
    <n v="49152.366955268022"/>
  </r>
  <r>
    <n v="2021"/>
    <x v="10"/>
    <x v="5"/>
    <s v="16"/>
    <s v="Asturias"/>
    <s v="C.C. Vicar"/>
    <s v="Frigorifico"/>
    <n v="57"/>
    <n v="800"/>
    <n v="45600"/>
  </r>
  <r>
    <n v="2021"/>
    <x v="10"/>
    <x v="1"/>
    <s v="17"/>
    <s v="Tarragona"/>
    <s v="El corte ingles"/>
    <s v="Aspiradora"/>
    <n v="28"/>
    <n v="820"/>
    <n v="22960"/>
  </r>
  <r>
    <n v="2021"/>
    <x v="10"/>
    <x v="6"/>
    <s v="18"/>
    <s v="Cadiz"/>
    <s v="Carrefour"/>
    <s v="Lavadora 8 Kg"/>
    <n v="29"/>
    <n v="450"/>
    <n v="13050"/>
  </r>
  <r>
    <n v="2021"/>
    <x v="10"/>
    <x v="2"/>
    <s v="19"/>
    <s v="Cadiz"/>
    <s v="Carrefour"/>
    <s v="Aspiradora"/>
    <n v="14"/>
    <n v="820"/>
    <n v="11480"/>
  </r>
  <r>
    <n v="2021"/>
    <x v="10"/>
    <x v="3"/>
    <s v="20"/>
    <s v="Jaen"/>
    <s v="Carrefour"/>
    <s v="Frigorifico"/>
    <n v="61.719676785673698"/>
    <n v="807.83036746920402"/>
    <n v="49859.029177851284"/>
  </r>
  <r>
    <n v="2021"/>
    <x v="10"/>
    <x v="3"/>
    <s v="20"/>
    <s v="Cordoba"/>
    <s v="Carrefour"/>
    <s v="Aspiradora"/>
    <n v="63.612072570499699"/>
    <n v="803.09247057194398"/>
    <n v="51086.376518844394"/>
  </r>
  <r>
    <n v="2021"/>
    <x v="10"/>
    <x v="4"/>
    <s v="21"/>
    <s v="Sevilla"/>
    <s v="C.C. Nervion"/>
    <s v="Aspiradora"/>
    <n v="57.400077701614201"/>
    <n v="823.21034951729598"/>
    <n v="47252.338027065773"/>
  </r>
  <r>
    <n v="2021"/>
    <x v="10"/>
    <x v="0"/>
    <s v="22"/>
    <s v="Sevilla"/>
    <s v="C.C. Vicar"/>
    <s v="TV 32 pulgadas"/>
    <n v="130"/>
    <n v="1200"/>
    <n v="156000"/>
  </r>
  <r>
    <n v="2021"/>
    <x v="10"/>
    <x v="0"/>
    <s v="22"/>
    <s v="Zaragoza"/>
    <s v="Metromar"/>
    <s v="TV 32 pulgadas"/>
    <n v="60"/>
    <n v="1200"/>
    <n v="72000"/>
  </r>
  <r>
    <n v="2021"/>
    <x v="10"/>
    <x v="6"/>
    <s v="25"/>
    <s v="Cordoba"/>
    <s v="El corte ingles"/>
    <s v="Home Cinema"/>
    <n v="62.994986988491199"/>
    <n v="803.28961086452898"/>
    <n v="50603.218584401162"/>
  </r>
  <r>
    <n v="2021"/>
    <x v="10"/>
    <x v="3"/>
    <s v="27"/>
    <s v="Sevilla"/>
    <s v="El corte ingles"/>
    <s v="Home Cinema"/>
    <n v="69"/>
    <n v="650"/>
    <n v="4050"/>
  </r>
  <r>
    <n v="2021"/>
    <x v="10"/>
    <x v="3"/>
    <s v="27"/>
    <s v="Valladolid"/>
    <s v="El corte ingles"/>
    <s v="Frigorifico"/>
    <n v="36"/>
    <n v="800"/>
    <n v="28800"/>
  </r>
  <r>
    <n v="2021"/>
    <x v="10"/>
    <x v="4"/>
    <s v="28"/>
    <s v="Madrid"/>
    <s v="C.C. Nervion"/>
    <s v="Lavadora 8 Kg"/>
    <n v="9"/>
    <n v="450"/>
    <n v="4050"/>
  </r>
  <r>
    <n v="2021"/>
    <x v="10"/>
    <x v="4"/>
    <s v="28"/>
    <s v="Cadiz"/>
    <s v="El corte ingles"/>
    <s v="Home Cinema"/>
    <s v="01"/>
    <n v="650"/>
    <n v="650"/>
  </r>
  <r>
    <n v="2021"/>
    <x v="10"/>
    <x v="4"/>
    <s v="28"/>
    <s v="Valladolid"/>
    <s v="Supermercados MAS"/>
    <s v="Lavadora 8 Kg"/>
    <n v="7"/>
    <n v="450"/>
    <n v="3150"/>
  </r>
  <r>
    <n v="2021"/>
    <x v="10"/>
    <x v="0"/>
    <s v="29"/>
    <s v="Murcia"/>
    <s v="Metromar"/>
    <s v="Aspiradora"/>
    <n v="166"/>
    <n v="950"/>
    <n v="157700"/>
  </r>
  <r>
    <n v="2021"/>
    <x v="10"/>
    <x v="0"/>
    <s v="29"/>
    <s v="Lerida"/>
    <s v="El corte ingles"/>
    <s v="Aspiradora"/>
    <n v="21"/>
    <n v="820"/>
    <n v="17220"/>
  </r>
  <r>
    <n v="2021"/>
    <x v="10"/>
    <x v="5"/>
    <s v="30"/>
    <s v="Tarragona"/>
    <s v="C.C. Vicar"/>
    <s v="Frigorifico"/>
    <n v="97"/>
    <n v="800"/>
    <n v="77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x v="0"/>
    <x v="0"/>
    <x v="0"/>
    <s v="03"/>
    <x v="0"/>
    <s v="C.C. Nervion"/>
    <s v="Aspiradora"/>
    <n v="3"/>
    <n v="820"/>
    <n v="2460"/>
  </r>
  <r>
    <x v="0"/>
    <x v="0"/>
    <x v="1"/>
    <s v="05"/>
    <x v="1"/>
    <s v="Metromar"/>
    <s v="Frigorifico"/>
    <n v="154"/>
    <n v="800"/>
    <n v="123200"/>
  </r>
  <r>
    <x v="0"/>
    <x v="0"/>
    <x v="2"/>
    <s v="07"/>
    <x v="2"/>
    <s v="El corte ingles"/>
    <s v="Home Cinema"/>
    <s v="011"/>
    <n v="650"/>
    <n v="7150"/>
  </r>
  <r>
    <x v="0"/>
    <x v="0"/>
    <x v="3"/>
    <s v="01"/>
    <x v="3"/>
    <s v="Supermercados MAS"/>
    <s v="Aspiradora"/>
    <n v="65.792441626929801"/>
    <n v="793.32924153814497"/>
    <n v="52195.067814834896"/>
  </r>
  <r>
    <x v="0"/>
    <x v="0"/>
    <x v="1"/>
    <s v="12"/>
    <x v="4"/>
    <s v="El corte ingles"/>
    <s v="Frigorifico"/>
    <n v="56"/>
    <n v="800"/>
    <n v="44800"/>
  </r>
  <r>
    <x v="0"/>
    <x v="0"/>
    <x v="2"/>
    <s v="14"/>
    <x v="5"/>
    <s v="C.C. Nervion"/>
    <s v="Frigorifico"/>
    <n v="60.567783699257802"/>
    <n v="801.93169603536103"/>
    <n v="48571.225507048701"/>
  </r>
  <r>
    <x v="0"/>
    <x v="0"/>
    <x v="4"/>
    <s v="16"/>
    <x v="6"/>
    <s v="C.C. Nervion"/>
    <s v="Aspiradora"/>
    <n v="68.260783954963799"/>
    <n v="784.540680367807"/>
    <n v="53553.361886467181"/>
  </r>
  <r>
    <x v="0"/>
    <x v="0"/>
    <x v="0"/>
    <s v="17"/>
    <x v="7"/>
    <s v="Carrefour"/>
    <s v="TV 32 pulgadas"/>
    <n v="230"/>
    <n v="1200"/>
    <n v="276000"/>
  </r>
  <r>
    <x v="0"/>
    <x v="0"/>
    <x v="5"/>
    <s v="18"/>
    <x v="8"/>
    <s v="Carrefour"/>
    <s v="TV 32 pulgadas"/>
    <n v="68"/>
    <n v="1200"/>
    <n v="81600"/>
  </r>
  <r>
    <x v="0"/>
    <x v="0"/>
    <x v="2"/>
    <s v="21"/>
    <x v="7"/>
    <s v="Supermercados MAS"/>
    <s v="Frigorifico"/>
    <n v="8"/>
    <n v="800"/>
    <n v="6400"/>
  </r>
  <r>
    <x v="0"/>
    <x v="0"/>
    <x v="2"/>
    <s v="21"/>
    <x v="9"/>
    <s v="Carrefour"/>
    <s v="Home Cinema"/>
    <n v="188"/>
    <n v="650"/>
    <n v="122200"/>
  </r>
  <r>
    <x v="0"/>
    <x v="0"/>
    <x v="3"/>
    <s v="22"/>
    <x v="6"/>
    <s v="Supermercados MAS"/>
    <s v="TV 32 pulgadas"/>
    <n v="18"/>
    <n v="1200"/>
    <n v="21600"/>
  </r>
  <r>
    <x v="0"/>
    <x v="0"/>
    <x v="0"/>
    <s v="24"/>
    <x v="0"/>
    <s v="Metromar"/>
    <s v="TV 32 pulgadas"/>
    <n v="26"/>
    <n v="1200"/>
    <n v="31200"/>
  </r>
  <r>
    <x v="0"/>
    <x v="0"/>
    <x v="5"/>
    <s v="25"/>
    <x v="3"/>
    <s v="C.C. Nervion"/>
    <s v="TV 32 pulgadas"/>
    <n v="56.453879819203799"/>
    <n v="826.57929796592498"/>
    <n v="46663.608348410176"/>
  </r>
  <r>
    <x v="0"/>
    <x v="0"/>
    <x v="2"/>
    <s v="28"/>
    <x v="10"/>
    <s v="Carrefour"/>
    <s v="Aspiradora"/>
    <n v="65.216495083721796"/>
    <n v="795.37990580122403"/>
    <n v="51871.889716376631"/>
  </r>
  <r>
    <x v="0"/>
    <x v="0"/>
    <x v="3"/>
    <s v="29"/>
    <x v="11"/>
    <s v="Supermercados MAS"/>
    <s v="Aspiradora"/>
    <s v="01"/>
    <n v="820"/>
    <n v="820"/>
  </r>
  <r>
    <x v="0"/>
    <x v="1"/>
    <x v="0"/>
    <s v="03"/>
    <x v="12"/>
    <s v="C.C. Vicar"/>
    <s v="Frigorifico"/>
    <n v="28"/>
    <n v="800"/>
    <n v="22400"/>
  </r>
  <r>
    <x v="0"/>
    <x v="1"/>
    <x v="5"/>
    <s v="04"/>
    <x v="5"/>
    <s v="El corte ingles"/>
    <s v="Frigorifico"/>
    <n v="77"/>
    <n v="800"/>
    <n v="61600"/>
  </r>
  <r>
    <x v="0"/>
    <x v="1"/>
    <x v="5"/>
    <s v="04"/>
    <x v="9"/>
    <s v="El corte ingles"/>
    <s v="Aspiradora"/>
    <n v="142"/>
    <n v="820"/>
    <n v="116440"/>
  </r>
  <r>
    <x v="0"/>
    <x v="1"/>
    <x v="5"/>
    <s v="04"/>
    <x v="2"/>
    <s v="El corte ingles"/>
    <s v="Frigorifico"/>
    <s v="016"/>
    <n v="800"/>
    <n v="12800"/>
  </r>
  <r>
    <x v="0"/>
    <x v="1"/>
    <x v="1"/>
    <s v="05"/>
    <x v="5"/>
    <s v="Supermercados MAS"/>
    <s v="Frigorifico"/>
    <n v="62.007650057277601"/>
    <n v="806.80503533266403"/>
    <n v="50028.084295357323"/>
  </r>
  <r>
    <x v="0"/>
    <x v="1"/>
    <x v="2"/>
    <s v="07"/>
    <x v="6"/>
    <s v="C.C. Nervion"/>
    <s v="Home Cinema"/>
    <n v="48"/>
    <n v="650"/>
    <n v="31200"/>
  </r>
  <r>
    <x v="0"/>
    <x v="1"/>
    <x v="2"/>
    <s v="07"/>
    <x v="13"/>
    <s v="C.C. Nervion"/>
    <s v="Frigorifico"/>
    <n v="62.707033716887302"/>
    <n v="804.31494300306804"/>
    <n v="50436.204249889677"/>
  </r>
  <r>
    <x v="0"/>
    <x v="1"/>
    <x v="2"/>
    <s v="07"/>
    <x v="1"/>
    <s v="Metromar"/>
    <s v="Lavadora 8 Kg"/>
    <n v="12"/>
    <n v="450"/>
    <n v="5400"/>
  </r>
  <r>
    <x v="0"/>
    <x v="1"/>
    <x v="3"/>
    <s v="08"/>
    <x v="6"/>
    <s v="Supermercados MAS"/>
    <s v="Aspiradora"/>
    <n v="68.384202171365501"/>
    <n v="784.10325230929004"/>
    <n v="53620.275329143704"/>
  </r>
  <r>
    <x v="0"/>
    <x v="1"/>
    <x v="4"/>
    <s v="09"/>
    <x v="4"/>
    <s v="Supermercados MAS"/>
    <s v="Home Cinema"/>
    <n v="14"/>
    <n v="650"/>
    <n v="9100"/>
  </r>
  <r>
    <x v="0"/>
    <x v="1"/>
    <x v="4"/>
    <s v="09"/>
    <x v="4"/>
    <s v="Carrefour"/>
    <s v="Aspiradora"/>
    <n v="149"/>
    <n v="950"/>
    <n v="141550"/>
  </r>
  <r>
    <x v="0"/>
    <x v="1"/>
    <x v="0"/>
    <s v="10"/>
    <x v="13"/>
    <s v="C.C. Vicar"/>
    <s v="Lavadora 8 Kg"/>
    <n v="64.928521812017905"/>
    <n v="796.40523794776402"/>
    <n v="51709.414863296704"/>
  </r>
  <r>
    <x v="0"/>
    <x v="1"/>
    <x v="6"/>
    <s v="13"/>
    <x v="14"/>
    <s v="Supermercados MAS"/>
    <s v="Aspiradora"/>
    <n v="24"/>
    <n v="950"/>
    <n v="22800"/>
  </r>
  <r>
    <x v="0"/>
    <x v="1"/>
    <x v="6"/>
    <s v="13"/>
    <x v="2"/>
    <s v="Carrefour"/>
    <s v="Aspiradora"/>
    <n v="4"/>
    <n v="950"/>
    <n v="3800"/>
  </r>
  <r>
    <x v="0"/>
    <x v="1"/>
    <x v="2"/>
    <s v="14"/>
    <x v="13"/>
    <s v="C.C. Nervion"/>
    <s v="Aspiradora"/>
    <n v="62.953847949690697"/>
    <n v="803.43608688403401"/>
    <n v="50579.393250991961"/>
  </r>
  <r>
    <x v="0"/>
    <x v="1"/>
    <x v="0"/>
    <s v="17"/>
    <x v="11"/>
    <s v="C.C. Vicar"/>
    <s v="Home Cinema"/>
    <n v="42"/>
    <n v="650"/>
    <n v="27300"/>
  </r>
  <r>
    <x v="0"/>
    <x v="1"/>
    <x v="2"/>
    <s v="21"/>
    <x v="3"/>
    <s v="Carrefour"/>
    <s v="Aspiradora"/>
    <n v="24"/>
    <n v="820"/>
    <n v="19680"/>
  </r>
  <r>
    <x v="0"/>
    <x v="1"/>
    <x v="2"/>
    <s v="21"/>
    <x v="6"/>
    <s v="C.C. Nervion"/>
    <s v="TV 32 pulgadas"/>
    <n v="70"/>
    <n v="1200"/>
    <n v="84000"/>
  </r>
  <r>
    <x v="0"/>
    <x v="1"/>
    <x v="5"/>
    <s v="25"/>
    <x v="3"/>
    <s v="C.C. Vicar"/>
    <s v="Home Cinema"/>
    <n v="65.586746432926901"/>
    <n v="794.06162163567296"/>
    <n v="52079.918230337622"/>
  </r>
  <r>
    <x v="0"/>
    <x v="1"/>
    <x v="2"/>
    <s v="28"/>
    <x v="15"/>
    <s v="C.C. Vicar"/>
    <s v="Aspiradora"/>
    <n v="22"/>
    <n v="950"/>
    <n v="20900"/>
  </r>
  <r>
    <x v="0"/>
    <x v="0"/>
    <x v="0"/>
    <s v="03"/>
    <x v="1"/>
    <s v="Supermercados MAS"/>
    <s v="Lavadora 8 Kg"/>
    <n v="1"/>
    <n v="450"/>
    <n v="450"/>
  </r>
  <r>
    <x v="0"/>
    <x v="0"/>
    <x v="0"/>
    <s v="03"/>
    <x v="14"/>
    <s v="Metromar"/>
    <s v="Aspiradora"/>
    <n v="9"/>
    <n v="950"/>
    <n v="8550"/>
  </r>
  <r>
    <x v="0"/>
    <x v="0"/>
    <x v="0"/>
    <s v="03"/>
    <x v="16"/>
    <s v="Carrefour"/>
    <s v="Lavadora 8 Kg"/>
    <n v="5"/>
    <n v="450"/>
    <n v="2250"/>
  </r>
  <r>
    <x v="0"/>
    <x v="0"/>
    <x v="0"/>
    <s v="03"/>
    <x v="8"/>
    <s v="Metromar"/>
    <s v="Home Cinema"/>
    <n v="40"/>
    <n v="650"/>
    <n v="26000"/>
  </r>
  <r>
    <x v="0"/>
    <x v="0"/>
    <x v="5"/>
    <s v="04"/>
    <x v="6"/>
    <s v="Metromar"/>
    <s v="Frigorifico"/>
    <n v="57"/>
    <n v="800"/>
    <n v="45600"/>
  </r>
  <r>
    <x v="0"/>
    <x v="0"/>
    <x v="2"/>
    <s v="07"/>
    <x v="6"/>
    <s v="Supermercados MAS"/>
    <s v="Aspiradora"/>
    <n v="6"/>
    <n v="820"/>
    <n v="4920"/>
  </r>
  <r>
    <x v="0"/>
    <x v="0"/>
    <x v="2"/>
    <s v="07"/>
    <x v="17"/>
    <s v="C.C. Nervion"/>
    <s v="Frigorifico"/>
    <n v="12"/>
    <n v="800"/>
    <n v="9600"/>
  </r>
  <r>
    <x v="0"/>
    <x v="0"/>
    <x v="3"/>
    <s v="08"/>
    <x v="3"/>
    <s v="Carrefour"/>
    <s v="Aspiradora"/>
    <n v="67.273447023750194"/>
    <n v="788.05610483594205"/>
    <n v="53015.250620423678"/>
  </r>
  <r>
    <x v="0"/>
    <x v="0"/>
    <x v="0"/>
    <s v="10"/>
    <x v="1"/>
    <s v="Supermercados MAS"/>
    <s v="Lavadora 8 Kg"/>
    <n v="39"/>
    <n v="450"/>
    <n v="17550"/>
  </r>
  <r>
    <x v="0"/>
    <x v="0"/>
    <x v="0"/>
    <s v="10"/>
    <x v="14"/>
    <s v="C.C. Nervion"/>
    <s v="Aspiradora"/>
    <n v="9"/>
    <n v="820"/>
    <n v="7380"/>
  </r>
  <r>
    <x v="0"/>
    <x v="0"/>
    <x v="3"/>
    <s v="01"/>
    <x v="8"/>
    <s v="Supermercados MAS"/>
    <s v="TV 32 pulgadas"/>
    <n v="33"/>
    <n v="1200"/>
    <n v="39600"/>
  </r>
  <r>
    <x v="0"/>
    <x v="0"/>
    <x v="4"/>
    <s v="16"/>
    <x v="6"/>
    <s v="Carrefour"/>
    <s v="Frigorifico"/>
    <s v="012"/>
    <n v="800"/>
    <n v="9600"/>
  </r>
  <r>
    <x v="0"/>
    <x v="0"/>
    <x v="4"/>
    <s v="16"/>
    <x v="6"/>
    <s v="C.C. Nervion"/>
    <s v="Aspiradora"/>
    <n v="57.893746177220997"/>
    <n v="821.452637283228"/>
    <n v="47556.970479483985"/>
  </r>
  <r>
    <x v="0"/>
    <x v="0"/>
    <x v="0"/>
    <s v="17"/>
    <x v="0"/>
    <s v="Metromar"/>
    <s v="TV 32 pulgadas"/>
    <n v="14"/>
    <n v="1200"/>
    <n v="16800"/>
  </r>
  <r>
    <x v="0"/>
    <x v="0"/>
    <x v="5"/>
    <s v="18"/>
    <x v="3"/>
    <s v="C.C. Vicar"/>
    <s v="Frigorifico"/>
    <n v="67.643698372955299"/>
    <n v="786.73782066039098"/>
    <n v="53217.855839347685"/>
  </r>
  <r>
    <x v="0"/>
    <x v="0"/>
    <x v="5"/>
    <s v="18"/>
    <x v="17"/>
    <s v="Supermercados MAS"/>
    <s v="Aspiradora"/>
    <n v="4"/>
    <n v="820"/>
    <n v="3280"/>
  </r>
  <r>
    <x v="0"/>
    <x v="0"/>
    <x v="1"/>
    <s v="19"/>
    <x v="6"/>
    <s v="El corte ingles"/>
    <s v="Frigorifico"/>
    <n v="58.881083108434602"/>
    <n v="817.93721281509295"/>
    <n v="48161.029005246848"/>
  </r>
  <r>
    <x v="0"/>
    <x v="0"/>
    <x v="6"/>
    <s v="20"/>
    <x v="18"/>
    <s v="Supermercados MAS"/>
    <s v="Aspiradora"/>
    <n v="22"/>
    <n v="950"/>
    <n v="20900"/>
  </r>
  <r>
    <x v="0"/>
    <x v="0"/>
    <x v="6"/>
    <s v="20"/>
    <x v="18"/>
    <s v="Metromar"/>
    <s v="Aspiradora"/>
    <n v="15"/>
    <n v="820"/>
    <n v="12300"/>
  </r>
  <r>
    <x v="0"/>
    <x v="0"/>
    <x v="2"/>
    <s v="21"/>
    <x v="13"/>
    <s v="C.C. Nervion"/>
    <s v="TV 32 pulgadas"/>
    <n v="17"/>
    <n v="1200"/>
    <n v="20400"/>
  </r>
  <r>
    <x v="0"/>
    <x v="0"/>
    <x v="2"/>
    <s v="21"/>
    <x v="6"/>
    <s v="El corte ingles"/>
    <s v="Frigorifico"/>
    <n v="68.507618187767207"/>
    <n v="783.66182425077295"/>
    <n v="53686.805044101078"/>
  </r>
  <r>
    <x v="0"/>
    <x v="0"/>
    <x v="2"/>
    <s v="21"/>
    <x v="2"/>
    <s v="C.C. Nervion"/>
    <s v="TV 32 pulgadas"/>
    <n v="95"/>
    <n v="1200"/>
    <n v="114000"/>
  </r>
  <r>
    <x v="0"/>
    <x v="0"/>
    <x v="1"/>
    <s v="26"/>
    <x v="15"/>
    <s v="C.C. Nervion"/>
    <s v="Aspiradora"/>
    <n v="1"/>
    <n v="820"/>
    <n v="820"/>
  </r>
  <r>
    <x v="0"/>
    <x v="0"/>
    <x v="6"/>
    <s v="27"/>
    <x v="0"/>
    <s v="Carrefour"/>
    <s v="TV 32 pulgadas"/>
    <n v="126"/>
    <n v="1200"/>
    <n v="151200"/>
  </r>
  <r>
    <x v="0"/>
    <x v="0"/>
    <x v="3"/>
    <s v="29"/>
    <x v="1"/>
    <s v="C.C. Vicar"/>
    <s v="Aspiradora"/>
    <n v="24"/>
    <n v="950"/>
    <n v="22800"/>
  </r>
  <r>
    <x v="0"/>
    <x v="0"/>
    <x v="4"/>
    <s v="30"/>
    <x v="6"/>
    <s v="El corte ingles"/>
    <s v="Home Cinema"/>
    <n v="57.7703290608193"/>
    <n v="821.89206534174502"/>
    <n v="47480.975067269006"/>
  </r>
  <r>
    <x v="0"/>
    <x v="0"/>
    <x v="4"/>
    <s v="30"/>
    <x v="14"/>
    <s v="Supermercados MAS"/>
    <s v="Frigorifico"/>
    <n v="4"/>
    <n v="800"/>
    <n v="3200"/>
  </r>
  <r>
    <x v="0"/>
    <x v="2"/>
    <x v="6"/>
    <s v="03"/>
    <x v="5"/>
    <s v="El corte ingles"/>
    <s v="Aspiradora"/>
    <n v="60.814617932061203"/>
    <n v="801.05283989832799"/>
    <n v="48715.722401809413"/>
  </r>
  <r>
    <x v="0"/>
    <x v="2"/>
    <x v="1"/>
    <s v="02"/>
    <x v="5"/>
    <s v="C.C. Vicar"/>
    <s v="Aspiradora"/>
    <n v="30"/>
    <n v="820"/>
    <n v="24600"/>
  </r>
  <r>
    <x v="0"/>
    <x v="2"/>
    <x v="1"/>
    <s v="02"/>
    <x v="1"/>
    <s v="C.C. Vicar"/>
    <s v="Aspiradora"/>
    <n v="20"/>
    <n v="820"/>
    <n v="16400"/>
  </r>
  <r>
    <x v="0"/>
    <x v="2"/>
    <x v="6"/>
    <s v="03"/>
    <x v="8"/>
    <s v="Metromar"/>
    <s v="Frigorifico"/>
    <n v="60"/>
    <n v="800"/>
    <n v="48000"/>
  </r>
  <r>
    <x v="0"/>
    <x v="2"/>
    <x v="2"/>
    <s v="04"/>
    <x v="6"/>
    <s v="C.C. Nervion"/>
    <s v="Home Cinema"/>
    <n v="6"/>
    <n v="650"/>
    <n v="3900"/>
  </r>
  <r>
    <x v="0"/>
    <x v="2"/>
    <x v="2"/>
    <s v="04"/>
    <x v="12"/>
    <s v="Metromar"/>
    <s v="Aspiradora"/>
    <n v="8"/>
    <n v="950"/>
    <n v="7600"/>
  </r>
  <r>
    <x v="0"/>
    <x v="2"/>
    <x v="3"/>
    <s v="05"/>
    <x v="3"/>
    <s v="El corte ingles"/>
    <s v="Home Cinema"/>
    <n v="65.257634122522404"/>
    <n v="795.233429791719"/>
    <n v="51895.052203346604"/>
  </r>
  <r>
    <x v="0"/>
    <x v="2"/>
    <x v="3"/>
    <s v="05"/>
    <x v="6"/>
    <s v="El corte ingles"/>
    <s v="Home Cinema"/>
    <n v="68.137366838562102"/>
    <n v="784.98030842632397"/>
    <n v="53486.491236292059"/>
  </r>
  <r>
    <x v="0"/>
    <x v="2"/>
    <x v="4"/>
    <s v="06"/>
    <x v="6"/>
    <s v="Metromar"/>
    <s v="TV 32 pulgadas"/>
    <n v="67.890532605758693"/>
    <n v="785.85896454335796"/>
    <n v="53352.383655858612"/>
  </r>
  <r>
    <x v="0"/>
    <x v="2"/>
    <x v="4"/>
    <s v="06"/>
    <x v="8"/>
    <s v="Carrefour"/>
    <s v="Aspiradora"/>
    <n v="37"/>
    <n v="820"/>
    <n v="30340"/>
  </r>
  <r>
    <x v="0"/>
    <x v="2"/>
    <x v="5"/>
    <s v="08"/>
    <x v="0"/>
    <s v="C.C. Vicar"/>
    <s v="Aspiradora"/>
    <n v="295"/>
    <n v="820"/>
    <n v="241900"/>
  </r>
  <r>
    <x v="0"/>
    <x v="2"/>
    <x v="1"/>
    <s v="09"/>
    <x v="1"/>
    <s v="Supermercados MAS"/>
    <s v="Frigorifico"/>
    <n v="5"/>
    <n v="800"/>
    <n v="4000"/>
  </r>
  <r>
    <x v="0"/>
    <x v="2"/>
    <x v="3"/>
    <s v="12"/>
    <x v="5"/>
    <s v="Metromar"/>
    <s v="Home Cinema"/>
    <n v="132"/>
    <n v="650"/>
    <n v="85800"/>
  </r>
  <r>
    <x v="0"/>
    <x v="2"/>
    <x v="0"/>
    <s v="14"/>
    <x v="6"/>
    <s v="C.C. Nervion"/>
    <s v="Home Cinema"/>
    <n v="9"/>
    <n v="650"/>
    <n v="5850"/>
  </r>
  <r>
    <x v="0"/>
    <x v="2"/>
    <x v="0"/>
    <s v="14"/>
    <x v="17"/>
    <s v="Supermercados MAS"/>
    <s v="Aspiradora"/>
    <n v="1"/>
    <n v="820"/>
    <n v="820"/>
  </r>
  <r>
    <x v="0"/>
    <x v="2"/>
    <x v="1"/>
    <s v="16"/>
    <x v="12"/>
    <s v="C.C. Nervion"/>
    <s v="Frigorifico"/>
    <n v="31"/>
    <n v="800"/>
    <n v="24800"/>
  </r>
  <r>
    <x v="0"/>
    <x v="2"/>
    <x v="2"/>
    <s v="18"/>
    <x v="3"/>
    <s v="C.C. Vicar"/>
    <s v="TV 32 pulgadas"/>
    <n v="56.865270207206798"/>
    <n v="825.01453777086897"/>
    <n v="46914.67461521428"/>
  </r>
  <r>
    <x v="0"/>
    <x v="2"/>
    <x v="2"/>
    <s v="18"/>
    <x v="2"/>
    <s v="C.C. Nervion"/>
    <s v="Frigorifico"/>
    <n v="48"/>
    <n v="800"/>
    <n v="38400"/>
  </r>
  <r>
    <x v="0"/>
    <x v="2"/>
    <x v="3"/>
    <s v="19"/>
    <x v="0"/>
    <s v="El corte ingles"/>
    <s v="Aspiradora"/>
    <n v="15"/>
    <n v="820"/>
    <n v="12300"/>
  </r>
  <r>
    <x v="0"/>
    <x v="2"/>
    <x v="4"/>
    <s v="20"/>
    <x v="19"/>
    <s v="Carrefour"/>
    <s v="Frigorifico"/>
    <n v="64"/>
    <n v="800"/>
    <n v="51200"/>
  </r>
  <r>
    <x v="0"/>
    <x v="2"/>
    <x v="0"/>
    <s v="21"/>
    <x v="19"/>
    <s v="Metromar"/>
    <s v="TV 32 pulgadas"/>
    <n v="39"/>
    <n v="1200"/>
    <n v="46800"/>
  </r>
  <r>
    <x v="0"/>
    <x v="2"/>
    <x v="0"/>
    <s v="21"/>
    <x v="16"/>
    <s v="Metromar"/>
    <s v="Aspiradora"/>
    <n v="25"/>
    <n v="820"/>
    <n v="20500"/>
  </r>
  <r>
    <x v="0"/>
    <x v="2"/>
    <x v="5"/>
    <s v="22"/>
    <x v="0"/>
    <s v="El corte ingles"/>
    <s v="Aspiradora"/>
    <n v="36"/>
    <n v="820"/>
    <n v="29520"/>
  </r>
  <r>
    <x v="0"/>
    <x v="2"/>
    <x v="6"/>
    <s v="24"/>
    <x v="3"/>
    <s v="C.C. Vicar"/>
    <s v="Frigorifico"/>
    <n v="66"/>
    <n v="800"/>
    <n v="52800"/>
  </r>
  <r>
    <x v="0"/>
    <x v="2"/>
    <x v="6"/>
    <s v="24"/>
    <x v="3"/>
    <s v="C.C. Vicar"/>
    <s v="Frigorifico"/>
    <n v="56.330462702799402"/>
    <n v="827.03872602444198"/>
    <n v="46587.474110090559"/>
  </r>
  <r>
    <x v="0"/>
    <x v="2"/>
    <x v="2"/>
    <s v="25"/>
    <x v="13"/>
    <s v="Carrefour"/>
    <s v="Lavadora 8 Kg"/>
    <n v="63.817767764502598"/>
    <n v="800.36009047441598"/>
    <n v="51077.19438187257"/>
  </r>
  <r>
    <x v="0"/>
    <x v="2"/>
    <x v="3"/>
    <s v="26"/>
    <x v="13"/>
    <s v="El corte ingles"/>
    <s v="Frigorifico"/>
    <n v="64.722826618015006"/>
    <n v="797.13761804529202"/>
    <n v="51592.999843442907"/>
  </r>
  <r>
    <x v="0"/>
    <x v="2"/>
    <x v="3"/>
    <s v="26"/>
    <x v="9"/>
    <s v="El corte ingles"/>
    <s v="TV 32 pulgadas"/>
    <n v="38"/>
    <n v="1200"/>
    <n v="45600"/>
  </r>
  <r>
    <x v="0"/>
    <x v="2"/>
    <x v="4"/>
    <s v="27"/>
    <x v="14"/>
    <s v="Carrefour"/>
    <s v="Frigorifico"/>
    <n v="30"/>
    <n v="800"/>
    <n v="24000"/>
  </r>
  <r>
    <x v="0"/>
    <x v="2"/>
    <x v="4"/>
    <s v="27"/>
    <x v="11"/>
    <s v="Carrefour"/>
    <s v="Aspiradora"/>
    <n v="17"/>
    <n v="950"/>
    <n v="16150"/>
  </r>
  <r>
    <x v="0"/>
    <x v="2"/>
    <x v="0"/>
    <s v="28"/>
    <x v="2"/>
    <s v="C.C. Nervion"/>
    <s v="Frigorifico"/>
    <n v="9"/>
    <n v="800"/>
    <n v="7200"/>
  </r>
  <r>
    <x v="0"/>
    <x v="2"/>
    <x v="5"/>
    <s v="29"/>
    <x v="13"/>
    <s v="Supermercados MAS"/>
    <s v="Home Cinema"/>
    <n v="7"/>
    <n v="650"/>
    <n v="4550"/>
  </r>
  <r>
    <x v="0"/>
    <x v="3"/>
    <x v="3"/>
    <s v="03"/>
    <x v="15"/>
    <s v="Metromar"/>
    <s v="Aspiradora"/>
    <n v="1"/>
    <n v="820"/>
    <n v="820"/>
  </r>
  <r>
    <x v="0"/>
    <x v="3"/>
    <x v="4"/>
    <s v="04"/>
    <x v="1"/>
    <s v="C.C. Nervion"/>
    <s v="Aspiradora"/>
    <n v="5"/>
    <n v="820"/>
    <n v="4100"/>
  </r>
  <r>
    <x v="0"/>
    <x v="3"/>
    <x v="1"/>
    <s v="07"/>
    <x v="6"/>
    <s v="Metromar"/>
    <s v="TV 32 pulgadas"/>
    <n v="57.523494828035901"/>
    <n v="822.77092145877896"/>
    <n v="47328.658845192404"/>
  </r>
  <r>
    <x v="0"/>
    <x v="3"/>
    <x v="6"/>
    <s v="01"/>
    <x v="13"/>
    <s v="Supermercados MAS"/>
    <s v="Frigorifico"/>
    <n v="64.558270462912802"/>
    <n v="797.72352212331396"/>
    <n v="51147.075044928017"/>
  </r>
  <r>
    <x v="0"/>
    <x v="3"/>
    <x v="5"/>
    <s v="13"/>
    <x v="6"/>
    <s v="C.C. Nervion"/>
    <s v="TV 32 pulgadas"/>
    <n v="22"/>
    <n v="1200"/>
    <n v="26400"/>
  </r>
  <r>
    <x v="0"/>
    <x v="3"/>
    <x v="5"/>
    <s v="13"/>
    <x v="13"/>
    <s v="Metromar"/>
    <s v="Frigorifico"/>
    <n v="63.940184880904297"/>
    <n v="799.92066241589896"/>
    <n v="51147.075044928017"/>
  </r>
  <r>
    <x v="0"/>
    <x v="3"/>
    <x v="1"/>
    <s v="14"/>
    <x v="3"/>
    <s v="C.C. Vicar"/>
    <s v="Aspiradora"/>
    <n v="57.358938672813601"/>
    <n v="823.35682553680294"/>
    <n v="47226.873661807964"/>
  </r>
  <r>
    <x v="0"/>
    <x v="3"/>
    <x v="1"/>
    <s v="14"/>
    <x v="2"/>
    <s v="Carrefour"/>
    <s v="Home Cinema"/>
    <n v="27"/>
    <n v="650"/>
    <n v="17550"/>
  </r>
  <r>
    <x v="0"/>
    <x v="3"/>
    <x v="2"/>
    <s v="16"/>
    <x v="4"/>
    <s v="C.C. Vicar"/>
    <s v="Aspiradora"/>
    <n v="26"/>
    <n v="820"/>
    <n v="21320"/>
  </r>
  <r>
    <x v="0"/>
    <x v="3"/>
    <x v="0"/>
    <s v="19"/>
    <x v="12"/>
    <s v="Metromar"/>
    <s v="Lavadora 8 Kg"/>
    <n v="56"/>
    <n v="450"/>
    <n v="25200"/>
  </r>
  <r>
    <x v="0"/>
    <x v="3"/>
    <x v="1"/>
    <s v="21"/>
    <x v="5"/>
    <s v="Supermercados MAS"/>
    <s v="Frigorifico"/>
    <n v="61.267147358867398"/>
    <n v="809.44160368376595"/>
    <n v="49592.178011291231"/>
  </r>
  <r>
    <x v="0"/>
    <x v="3"/>
    <x v="6"/>
    <s v="22"/>
    <x v="19"/>
    <s v="Metromar"/>
    <s v="TV 32 pulgadas"/>
    <n v="40"/>
    <n v="1200"/>
    <n v="48000"/>
  </r>
  <r>
    <x v="0"/>
    <x v="3"/>
    <x v="5"/>
    <s v="23"/>
    <x v="14"/>
    <s v="C.C. Nervion"/>
    <s v="Home Cinema"/>
    <n v="5"/>
    <n v="650"/>
    <n v="81600"/>
  </r>
  <r>
    <x v="0"/>
    <x v="3"/>
    <x v="2"/>
    <s v="24"/>
    <x v="5"/>
    <s v="Carrefour"/>
    <s v="Home Cinema"/>
    <n v="60.362088505255002"/>
    <n v="812.66407601288995"/>
    <e v="#REF!"/>
  </r>
  <r>
    <x v="0"/>
    <x v="3"/>
    <x v="2"/>
    <s v="24"/>
    <x v="11"/>
    <s v="Metromar"/>
    <s v="Aspiradora"/>
    <n v="58"/>
    <n v="820"/>
    <n v="6400"/>
  </r>
  <r>
    <x v="0"/>
    <x v="3"/>
    <x v="2"/>
    <s v="26"/>
    <x v="18"/>
    <s v="C.C. Nervion"/>
    <s v="Aspiradora"/>
    <n v="2"/>
    <n v="950"/>
    <n v="122200"/>
  </r>
  <r>
    <x v="0"/>
    <x v="3"/>
    <x v="3"/>
    <s v="30"/>
    <x v="19"/>
    <s v="C.C. Vicar"/>
    <s v="Frigorifico"/>
    <n v="56"/>
    <n v="800"/>
    <n v="21600"/>
  </r>
  <r>
    <x v="0"/>
    <x v="3"/>
    <x v="0"/>
    <s v="31"/>
    <x v="13"/>
    <s v="El corte ingles"/>
    <s v="TV 32 pulgadas"/>
    <n v="55"/>
    <n v="1200"/>
    <n v="31200"/>
  </r>
  <r>
    <x v="0"/>
    <x v="4"/>
    <x v="5"/>
    <s v="03"/>
    <x v="4"/>
    <s v="Carrefour"/>
    <s v="TV 32 pulgadas"/>
    <n v="166"/>
    <n v="1200"/>
    <n v="46663.608348410176"/>
  </r>
  <r>
    <x v="0"/>
    <x v="4"/>
    <x v="2"/>
    <s v="03"/>
    <x v="16"/>
    <s v="C.C. Nervion"/>
    <s v="TV 32 pulgadas"/>
    <n v="13"/>
    <n v="1200"/>
    <n v="51871.889716376631"/>
  </r>
  <r>
    <x v="0"/>
    <x v="4"/>
    <x v="3"/>
    <s v="02"/>
    <x v="0"/>
    <s v="Metromar"/>
    <s v="Frigorifico"/>
    <n v="97"/>
    <n v="800"/>
    <n v="820"/>
  </r>
  <r>
    <x v="0"/>
    <x v="4"/>
    <x v="0"/>
    <s v="04"/>
    <x v="12"/>
    <s v="Carrefour"/>
    <s v="TV 32 pulgadas"/>
    <n v="41"/>
    <n v="1200"/>
    <n v="22400"/>
  </r>
  <r>
    <x v="0"/>
    <x v="4"/>
    <x v="6"/>
    <s v="05"/>
    <x v="3"/>
    <s v="Carrefour"/>
    <s v="Frigorifico"/>
    <n v="69"/>
    <n v="800"/>
    <n v="55200"/>
  </r>
  <r>
    <x v="0"/>
    <x v="4"/>
    <x v="6"/>
    <s v="05"/>
    <x v="6"/>
    <s v="C.C. Vicar"/>
    <s v="Aspiradora"/>
    <n v="68.219644916163205"/>
    <n v="784.68715638731203"/>
    <n v="53531.079179016255"/>
  </r>
  <r>
    <x v="0"/>
    <x v="4"/>
    <x v="3"/>
    <s v="07"/>
    <x v="1"/>
    <s v="Metromar"/>
    <s v="Frigorifico"/>
    <n v="54"/>
    <n v="800"/>
    <n v="43200"/>
  </r>
  <r>
    <x v="0"/>
    <x v="4"/>
    <x v="0"/>
    <s v="09"/>
    <x v="0"/>
    <s v="C.C. Nervion"/>
    <s v="TV 32 pulgadas"/>
    <n v="86"/>
    <n v="1200"/>
    <n v="103200"/>
  </r>
  <r>
    <x v="0"/>
    <x v="4"/>
    <x v="0"/>
    <s v="09"/>
    <x v="8"/>
    <s v="Carrefour"/>
    <s v="TV 32 pulgadas"/>
    <n v="40"/>
    <n v="1200"/>
    <n v="48000"/>
  </r>
  <r>
    <x v="0"/>
    <x v="4"/>
    <x v="4"/>
    <s v="01"/>
    <x v="18"/>
    <s v="El corte ingles"/>
    <s v="Lavadora 8 Kg"/>
    <n v="96"/>
    <n v="450"/>
    <n v="43200"/>
  </r>
  <r>
    <x v="0"/>
    <x v="4"/>
    <x v="2"/>
    <s v="13"/>
    <x v="9"/>
    <s v="Supermercados MAS"/>
    <s v="Aspiradora"/>
    <n v="29"/>
    <n v="820"/>
    <n v="23780"/>
  </r>
  <r>
    <x v="0"/>
    <x v="4"/>
    <x v="4"/>
    <s v="15"/>
    <x v="6"/>
    <s v="C.C. Vicar"/>
    <s v="TV 32 pulgadas"/>
    <n v="68.713313381770007"/>
    <n v="782.92944415324496"/>
    <n v="53797.676251916921"/>
  </r>
  <r>
    <x v="0"/>
    <x v="4"/>
    <x v="0"/>
    <s v="16"/>
    <x v="13"/>
    <s v="C.C. Nervion"/>
    <s v="Aspiradora"/>
    <n v="64.640548540513905"/>
    <n v="797.43057008430299"/>
    <n v="51546.349473224065"/>
  </r>
  <r>
    <x v="0"/>
    <x v="4"/>
    <x v="5"/>
    <s v="17"/>
    <x v="3"/>
    <s v="El corte ingles"/>
    <s v="Aspiradora"/>
    <n v="41"/>
    <n v="950"/>
    <n v="38950"/>
  </r>
  <r>
    <x v="0"/>
    <x v="4"/>
    <x v="5"/>
    <s v="17"/>
    <x v="15"/>
    <s v="Metromar"/>
    <s v="Frigorifico"/>
    <n v="35"/>
    <n v="800"/>
    <n v="28000"/>
  </r>
  <r>
    <x v="0"/>
    <x v="4"/>
    <x v="6"/>
    <s v="19"/>
    <x v="17"/>
    <s v="El corte ingles"/>
    <s v="TV 32 pulgadas"/>
    <n v="135"/>
    <n v="1200"/>
    <n v="162000"/>
  </r>
  <r>
    <x v="0"/>
    <x v="4"/>
    <x v="4"/>
    <s v="22"/>
    <x v="13"/>
    <s v="El corte ingles"/>
    <s v="TV 32 pulgadas"/>
    <n v="64.517131424012206"/>
    <n v="797.86999814282001"/>
    <n v="51476.28352945669"/>
  </r>
  <r>
    <x v="0"/>
    <x v="4"/>
    <x v="4"/>
    <s v="22"/>
    <x v="1"/>
    <s v="Supermercados MAS"/>
    <s v="Frigorifico"/>
    <n v="19"/>
    <n v="800"/>
    <n v="15200"/>
  </r>
  <r>
    <x v="0"/>
    <x v="4"/>
    <x v="0"/>
    <s v="23"/>
    <x v="13"/>
    <s v="Supermercados MAS"/>
    <s v="Frigorifico"/>
    <n v="9"/>
    <n v="800"/>
    <n v="7200"/>
  </r>
  <r>
    <x v="0"/>
    <x v="4"/>
    <x v="0"/>
    <s v="23"/>
    <x v="13"/>
    <s v="Supermercados MAS"/>
    <s v="TV 32 pulgadas"/>
    <n v="18"/>
    <n v="1200"/>
    <n v="21600"/>
  </r>
  <r>
    <x v="0"/>
    <x v="4"/>
    <x v="1"/>
    <s v="25"/>
    <x v="6"/>
    <s v="C.C. Vicar"/>
    <s v="Lavadora 8 Kg"/>
    <n v="28"/>
    <n v="450"/>
    <n v="12600"/>
  </r>
  <r>
    <x v="0"/>
    <x v="4"/>
    <x v="6"/>
    <s v="26"/>
    <x v="3"/>
    <s v="Supermercados MAS"/>
    <s v="Aspiradora"/>
    <n v="65.874719704530904"/>
    <n v="793.036289499134"/>
    <n v="52241.043286276676"/>
  </r>
  <r>
    <x v="0"/>
    <x v="4"/>
    <x v="2"/>
    <s v="27"/>
    <x v="13"/>
    <s v="El corte ingles"/>
    <s v="TV 32 pulgadas"/>
    <n v="86"/>
    <n v="1200"/>
    <n v="103200"/>
  </r>
  <r>
    <x v="0"/>
    <x v="4"/>
    <x v="2"/>
    <s v="27"/>
    <x v="6"/>
    <s v="El corte ingles"/>
    <s v="Aspiradora"/>
    <n v="57.6469019444176"/>
    <n v="822.33149340026205"/>
    <n v="47404.862965851396"/>
  </r>
  <r>
    <x v="0"/>
    <x v="4"/>
    <x v="3"/>
    <s v="28"/>
    <x v="5"/>
    <s v="Carrefour"/>
    <s v="Aspiradora"/>
    <n v="20"/>
    <n v="950"/>
    <n v="19000"/>
  </r>
  <r>
    <x v="0"/>
    <x v="4"/>
    <x v="3"/>
    <s v="28"/>
    <x v="11"/>
    <s v="Carrefour"/>
    <s v="Frigorifico"/>
    <n v="18"/>
    <n v="800"/>
    <n v="14400"/>
  </r>
  <r>
    <x v="0"/>
    <x v="4"/>
    <x v="4"/>
    <s v="29"/>
    <x v="7"/>
    <s v="Metromar"/>
    <s v="Home Cinema"/>
    <n v="50"/>
    <n v="650"/>
    <n v="32500"/>
  </r>
  <r>
    <x v="0"/>
    <x v="4"/>
    <x v="4"/>
    <s v="29"/>
    <x v="19"/>
    <s v="El corte ingles"/>
    <s v="Aspiradora"/>
    <s v="01"/>
    <n v="820"/>
    <n v="820"/>
  </r>
  <r>
    <x v="0"/>
    <x v="4"/>
    <x v="0"/>
    <s v="30"/>
    <x v="3"/>
    <s v="El corte ingles"/>
    <s v="Aspiradora"/>
    <n v="66.080414898533704"/>
    <n v="792.30390940360599"/>
    <n v="52355.77105912054"/>
  </r>
  <r>
    <x v="0"/>
    <x v="5"/>
    <x v="1"/>
    <s v="02"/>
    <x v="6"/>
    <s v="El corte ingles"/>
    <s v="Aspiradora"/>
    <n v="68.548757226567702"/>
    <n v="783.51534823126701"/>
    <n v="53709.003389194775"/>
  </r>
  <r>
    <x v="0"/>
    <x v="5"/>
    <x v="4"/>
    <s v="06"/>
    <x v="0"/>
    <s v="C.C. Vicar"/>
    <s v="Lavadora 8 Kg"/>
    <n v="130"/>
    <n v="450"/>
    <n v="58500"/>
  </r>
  <r>
    <x v="0"/>
    <x v="5"/>
    <x v="0"/>
    <s v="07"/>
    <x v="9"/>
    <s v="Supermercados MAS"/>
    <s v="Frigorifico"/>
    <n v="14"/>
    <n v="800"/>
    <n v="11200"/>
  </r>
  <r>
    <x v="0"/>
    <x v="5"/>
    <x v="0"/>
    <s v="07"/>
    <x v="12"/>
    <s v="El corte ingles"/>
    <s v="Frigorifico"/>
    <n v="14"/>
    <n v="800"/>
    <n v="11200"/>
  </r>
  <r>
    <x v="0"/>
    <x v="5"/>
    <x v="5"/>
    <s v="08"/>
    <x v="9"/>
    <s v="C.C. Nervion"/>
    <s v="Aspiradora"/>
    <n v="40"/>
    <n v="820"/>
    <n v="32800"/>
  </r>
  <r>
    <x v="0"/>
    <x v="5"/>
    <x v="5"/>
    <s v="08"/>
    <x v="18"/>
    <s v="C.C. Nervion"/>
    <s v="Frigorifico"/>
    <n v="29"/>
    <n v="800"/>
    <n v="23200"/>
  </r>
  <r>
    <x v="0"/>
    <x v="5"/>
    <x v="6"/>
    <s v="10"/>
    <x v="13"/>
    <s v="Metromar"/>
    <s v="TV 32 pulgadas"/>
    <n v="63.529794492898603"/>
    <n v="803.38542261095495"/>
    <n v="51038.910797064462"/>
  </r>
  <r>
    <x v="0"/>
    <x v="5"/>
    <x v="3"/>
    <s v="12"/>
    <x v="3"/>
    <s v="Supermercados MAS"/>
    <s v="Lavadora 8 Kg"/>
    <n v="65.545607394126407"/>
    <n v="794.20809765517902"/>
    <n v="52056.85215814237"/>
  </r>
  <r>
    <x v="0"/>
    <x v="5"/>
    <x v="0"/>
    <s v="14"/>
    <x v="13"/>
    <s v="C.C. Vicar"/>
    <s v="Frigorifico"/>
    <n v="45"/>
    <n v="800"/>
    <n v="36000"/>
  </r>
  <r>
    <x v="0"/>
    <x v="5"/>
    <x v="0"/>
    <s v="14"/>
    <x v="4"/>
    <s v="C.C. Vicar"/>
    <s v="Aspiradora"/>
    <n v="29"/>
    <n v="820"/>
    <n v="23780"/>
  </r>
  <r>
    <x v="0"/>
    <x v="5"/>
    <x v="5"/>
    <s v="15"/>
    <x v="13"/>
    <s v="Metromar"/>
    <s v="Frigorifico"/>
    <n v="1"/>
    <n v="800"/>
    <n v="800"/>
  </r>
  <r>
    <x v="0"/>
    <x v="5"/>
    <x v="6"/>
    <s v="17"/>
    <x v="15"/>
    <s v="Carrefour"/>
    <s v="Lavadora 8 Kg"/>
    <n v="98"/>
    <n v="450"/>
    <n v="44100"/>
  </r>
  <r>
    <x v="0"/>
    <x v="5"/>
    <x v="2"/>
    <s v="18"/>
    <x v="9"/>
    <s v="El corte ingles"/>
    <s v="TV 32 pulgadas"/>
    <n v="109"/>
    <n v="1200"/>
    <n v="130800"/>
  </r>
  <r>
    <x v="0"/>
    <x v="5"/>
    <x v="0"/>
    <s v="21"/>
    <x v="6"/>
    <s v="C.C. Vicar"/>
    <s v="Lavadora 8 Kg"/>
    <n v="23"/>
    <n v="450"/>
    <n v="10350"/>
  </r>
  <r>
    <x v="0"/>
    <x v="5"/>
    <x v="0"/>
    <s v="21"/>
    <x v="0"/>
    <s v="El corte ingles"/>
    <s v="TV 32 pulgadas"/>
    <n v="8"/>
    <n v="1200"/>
    <n v="9600"/>
  </r>
  <r>
    <x v="0"/>
    <x v="5"/>
    <x v="0"/>
    <s v="21"/>
    <x v="14"/>
    <s v="C.C. Nervion"/>
    <s v="Frigorifico"/>
    <n v="49"/>
    <n v="800"/>
    <n v="39200"/>
  </r>
  <r>
    <x v="0"/>
    <x v="5"/>
    <x v="5"/>
    <s v="22"/>
    <x v="1"/>
    <s v="Carrefour"/>
    <s v="Aspiradora"/>
    <n v="6"/>
    <n v="950"/>
    <n v="5700"/>
  </r>
  <r>
    <x v="0"/>
    <x v="5"/>
    <x v="5"/>
    <s v="22"/>
    <x v="17"/>
    <s v="Metromar"/>
    <s v="Aspiradora"/>
    <s v="011"/>
    <n v="950"/>
    <n v="10450"/>
  </r>
  <r>
    <x v="0"/>
    <x v="5"/>
    <x v="1"/>
    <s v="23"/>
    <x v="9"/>
    <s v="Metromar"/>
    <s v="Aspiradora"/>
    <n v="44"/>
    <n v="950"/>
    <n v="41800"/>
  </r>
  <r>
    <x v="0"/>
    <x v="5"/>
    <x v="6"/>
    <s v="24"/>
    <x v="6"/>
    <s v="Supermercados MAS"/>
    <s v="TV 32 pulgadas"/>
    <n v="57.564633866816401"/>
    <n v="822.62444543927302"/>
    <n v="47354.075011604633"/>
  </r>
  <r>
    <x v="0"/>
    <x v="5"/>
    <x v="3"/>
    <s v="26"/>
    <x v="5"/>
    <s v="El corte ingles"/>
    <s v="TV 32 pulgadas"/>
    <n v="59.950698017249302"/>
    <n v="814.12883630794602"/>
    <n v="48807.59201263226"/>
  </r>
  <r>
    <x v="0"/>
    <x v="5"/>
    <x v="3"/>
    <s v="26"/>
    <x v="2"/>
    <s v="Carrefour"/>
    <s v="Frigorifico"/>
    <n v="75"/>
    <n v="800"/>
    <n v="60000"/>
  </r>
  <r>
    <x v="0"/>
    <x v="5"/>
    <x v="4"/>
    <s v="27"/>
    <x v="15"/>
    <s v="Supermercados MAS"/>
    <s v="Frigorifico"/>
    <n v="18"/>
    <n v="800"/>
    <n v="14400"/>
  </r>
  <r>
    <x v="0"/>
    <x v="5"/>
    <x v="0"/>
    <s v="28"/>
    <x v="13"/>
    <s v="El corte ingles"/>
    <s v="Frigorifico"/>
    <n v="62.624735639286101"/>
    <n v="804.60789504007903"/>
    <n v="50388.356720167409"/>
  </r>
  <r>
    <x v="0"/>
    <x v="5"/>
    <x v="5"/>
    <s v="29"/>
    <x v="13"/>
    <s v="C.C. Vicar"/>
    <s v="Home Cinema"/>
    <n v="57"/>
    <n v="650"/>
    <n v="37050"/>
  </r>
  <r>
    <x v="0"/>
    <x v="5"/>
    <x v="6"/>
    <s v="31"/>
    <x v="6"/>
    <s v="Supermercados MAS"/>
    <s v="TV 32 pulgadas"/>
    <n v="16"/>
    <n v="1200"/>
    <n v="19200"/>
  </r>
  <r>
    <x v="0"/>
    <x v="5"/>
    <x v="6"/>
    <s v="31"/>
    <x v="9"/>
    <s v="Supermercados MAS"/>
    <s v="Aspiradora"/>
    <n v="45"/>
    <n v="820"/>
    <n v="36900"/>
  </r>
  <r>
    <x v="0"/>
    <x v="6"/>
    <x v="4"/>
    <s v="03"/>
    <x v="7"/>
    <s v="C.C. Nervion"/>
    <s v="Aspiradora"/>
    <n v="13"/>
    <n v="820"/>
    <n v="10660"/>
  </r>
  <r>
    <x v="0"/>
    <x v="6"/>
    <x v="3"/>
    <s v="02"/>
    <x v="0"/>
    <s v="C.C. Nervion"/>
    <s v="Lavadora 8 Kg"/>
    <n v="98"/>
    <n v="450"/>
    <n v="44100"/>
  </r>
  <r>
    <x v="0"/>
    <x v="6"/>
    <x v="4"/>
    <s v="03"/>
    <x v="15"/>
    <s v="Carrefour"/>
    <s v="Aspiradora"/>
    <n v="37"/>
    <n v="820"/>
    <n v="30340"/>
  </r>
  <r>
    <x v="0"/>
    <x v="6"/>
    <x v="4"/>
    <s v="03"/>
    <x v="8"/>
    <s v="C.C. Vicar"/>
    <s v="Lavadora 8 Kg"/>
    <n v="75"/>
    <n v="450"/>
    <n v="33750"/>
  </r>
  <r>
    <x v="0"/>
    <x v="6"/>
    <x v="5"/>
    <s v="05"/>
    <x v="12"/>
    <s v="Metromar"/>
    <s v="TV 32 pulgadas"/>
    <n v="54"/>
    <n v="1200"/>
    <n v="64800"/>
  </r>
  <r>
    <x v="0"/>
    <x v="6"/>
    <x v="6"/>
    <s v="07"/>
    <x v="7"/>
    <s v="El corte ingles"/>
    <s v="Frigorifico"/>
    <n v="81"/>
    <n v="800"/>
    <n v="64800"/>
  </r>
  <r>
    <x v="0"/>
    <x v="6"/>
    <x v="3"/>
    <s v="09"/>
    <x v="19"/>
    <s v="C.C. Vicar"/>
    <s v="Frigorifico"/>
    <n v="52"/>
    <n v="800"/>
    <n v="41600"/>
  </r>
  <r>
    <x v="0"/>
    <x v="6"/>
    <x v="4"/>
    <s v="10"/>
    <x v="3"/>
    <s v="Metromar"/>
    <s v="Frigorifico"/>
    <n v="70"/>
    <n v="800"/>
    <n v="56000"/>
  </r>
  <r>
    <x v="0"/>
    <x v="6"/>
    <x v="4"/>
    <s v="10"/>
    <x v="13"/>
    <s v="Supermercados MAS"/>
    <s v="TV 32 pulgadas"/>
    <n v="6"/>
    <n v="1200"/>
    <n v="7200"/>
  </r>
  <r>
    <x v="0"/>
    <x v="6"/>
    <x v="5"/>
    <s v="12"/>
    <x v="13"/>
    <s v="C.C. Nervion"/>
    <s v="Aspiradora"/>
    <n v="63.735489686903399"/>
    <n v="800.65304251342695"/>
    <n v="51030.013733902349"/>
  </r>
  <r>
    <x v="0"/>
    <x v="6"/>
    <x v="5"/>
    <s v="12"/>
    <x v="15"/>
    <s v="El corte ingles"/>
    <s v="Home Cinema"/>
    <n v="78"/>
    <n v="650"/>
    <n v="50700"/>
  </r>
  <r>
    <x v="0"/>
    <x v="6"/>
    <x v="6"/>
    <s v="14"/>
    <x v="15"/>
    <s v="Metromar"/>
    <s v="Frigorifico"/>
    <n v="58"/>
    <n v="800"/>
    <n v="46400"/>
  </r>
  <r>
    <x v="0"/>
    <x v="6"/>
    <x v="3"/>
    <s v="16"/>
    <x v="2"/>
    <s v="C.C. Vicar"/>
    <s v="Lavadora 8 Kg"/>
    <s v="016"/>
    <n v="450"/>
    <n v="7200"/>
  </r>
  <r>
    <x v="0"/>
    <x v="6"/>
    <x v="4"/>
    <s v="17"/>
    <x v="3"/>
    <s v="C.C. Vicar"/>
    <s v="Frigorifico"/>
    <n v="65.627885471727495"/>
    <n v="793.91514561616805"/>
    <n v="52102.972250767736"/>
  </r>
  <r>
    <x v="0"/>
    <x v="6"/>
    <x v="4"/>
    <s v="17"/>
    <x v="2"/>
    <s v="C.C. Vicar"/>
    <s v="Aspiradora"/>
    <n v="125"/>
    <n v="820"/>
    <n v="102500"/>
  </r>
  <r>
    <x v="0"/>
    <x v="6"/>
    <x v="0"/>
    <s v="18"/>
    <x v="7"/>
    <s v="El corte ingles"/>
    <s v="Lavadora 8 Kg"/>
    <n v="71"/>
    <n v="450"/>
    <n v="31950"/>
  </r>
  <r>
    <x v="0"/>
    <x v="6"/>
    <x v="5"/>
    <s v="19"/>
    <x v="11"/>
    <s v="El corte ingles"/>
    <s v="Frigorifico"/>
    <n v="29"/>
    <n v="800"/>
    <n v="23200"/>
  </r>
  <r>
    <x v="0"/>
    <x v="6"/>
    <x v="6"/>
    <s v="21"/>
    <x v="6"/>
    <s v="Metromar"/>
    <s v="Frigorifico"/>
    <n v="58.757665992032898"/>
    <n v="818.37664087360997"/>
    <n v="48085.901320133431"/>
  </r>
  <r>
    <x v="0"/>
    <x v="6"/>
    <x v="0"/>
    <s v="25"/>
    <x v="8"/>
    <s v="Carrefour"/>
    <s v="Frigorifico"/>
    <n v="126"/>
    <n v="800"/>
    <n v="100800"/>
  </r>
  <r>
    <x v="0"/>
    <x v="6"/>
    <x v="5"/>
    <s v="26"/>
    <x v="18"/>
    <s v="C.C. Vicar"/>
    <s v="Lavadora 8 Kg"/>
    <n v="31"/>
    <n v="450"/>
    <n v="13950"/>
  </r>
  <r>
    <x v="0"/>
    <x v="6"/>
    <x v="1"/>
    <s v="27"/>
    <x v="4"/>
    <s v="El corte ingles"/>
    <s v="Aspiradora"/>
    <n v="57"/>
    <n v="820"/>
    <n v="46740"/>
  </r>
  <r>
    <x v="0"/>
    <x v="6"/>
    <x v="1"/>
    <s v="27"/>
    <x v="8"/>
    <s v="Carrefour"/>
    <s v="Aspiradora"/>
    <n v="36"/>
    <n v="820"/>
    <n v="29520"/>
  </r>
  <r>
    <x v="0"/>
    <x v="6"/>
    <x v="4"/>
    <s v="31"/>
    <x v="6"/>
    <s v="El corte ingles"/>
    <s v="Frigorifico"/>
    <n v="107"/>
    <n v="800"/>
    <n v="85600"/>
  </r>
  <r>
    <x v="0"/>
    <x v="6"/>
    <x v="4"/>
    <s v="31"/>
    <x v="1"/>
    <s v="Carrefour"/>
    <s v="Frigorifico"/>
    <n v="12"/>
    <n v="800"/>
    <n v="9600"/>
  </r>
  <r>
    <x v="0"/>
    <x v="7"/>
    <x v="1"/>
    <s v="03"/>
    <x v="14"/>
    <s v="Metromar"/>
    <s v="Frigorifico"/>
    <n v="141"/>
    <n v="800"/>
    <n v="112800"/>
  </r>
  <r>
    <x v="0"/>
    <x v="7"/>
    <x v="5"/>
    <s v="02"/>
    <x v="10"/>
    <s v="C.C. Vicar"/>
    <s v="Frigorifico"/>
    <n v="65.175356044921301"/>
    <n v="795.52638183072997"/>
    <n v="51848.715178945837"/>
  </r>
  <r>
    <x v="0"/>
    <x v="7"/>
    <x v="1"/>
    <s v="03"/>
    <x v="14"/>
    <s v="Metromar"/>
    <s v="Frigorifico"/>
    <n v="150"/>
    <n v="800"/>
    <n v="120000"/>
  </r>
  <r>
    <x v="0"/>
    <x v="7"/>
    <x v="6"/>
    <s v="04"/>
    <x v="11"/>
    <s v="Metromar"/>
    <s v="Aspiradora"/>
    <n v="35"/>
    <n v="950"/>
    <n v="33250"/>
  </r>
  <r>
    <x v="0"/>
    <x v="7"/>
    <x v="2"/>
    <s v="05"/>
    <x v="1"/>
    <s v="Carrefour"/>
    <s v="Frigorifico"/>
    <n v="6"/>
    <n v="800"/>
    <n v="4800"/>
  </r>
  <r>
    <x v="0"/>
    <x v="7"/>
    <x v="4"/>
    <s v="07"/>
    <x v="4"/>
    <s v="Supermercados MAS"/>
    <s v="Frigorifico"/>
    <n v="6"/>
    <n v="800"/>
    <n v="14400"/>
  </r>
  <r>
    <x v="0"/>
    <x v="7"/>
    <x v="4"/>
    <s v="07"/>
    <x v="2"/>
    <s v="Metromar"/>
    <s v="Lavadora 8 Kg"/>
    <n v="6"/>
    <n v="450"/>
    <n v="2700"/>
  </r>
  <r>
    <x v="0"/>
    <x v="7"/>
    <x v="0"/>
    <s v="08"/>
    <x v="5"/>
    <s v="C.C. Nervion"/>
    <s v="Frigorifico"/>
    <n v="18"/>
    <n v="800"/>
    <n v="14400"/>
  </r>
  <r>
    <x v="0"/>
    <x v="7"/>
    <x v="0"/>
    <s v="08"/>
    <x v="12"/>
    <s v="C.C. Nervion"/>
    <s v="Frigorifico"/>
    <n v="32"/>
    <n v="800"/>
    <n v="25600"/>
  </r>
  <r>
    <x v="0"/>
    <x v="7"/>
    <x v="5"/>
    <s v="09"/>
    <x v="5"/>
    <s v="C.C. Nervion"/>
    <s v="Home Cinema"/>
    <n v="90"/>
    <n v="650"/>
    <n v="58500"/>
  </r>
  <r>
    <x v="0"/>
    <x v="7"/>
    <x v="1"/>
    <s v="10"/>
    <x v="3"/>
    <s v="Carrefour"/>
    <s v="Home Cinema"/>
    <n v="56.083628469996"/>
    <n v="827.89758214147605"/>
    <n v="46431.500408030537"/>
  </r>
  <r>
    <x v="0"/>
    <x v="7"/>
    <x v="0"/>
    <s v="01"/>
    <x v="6"/>
    <s v="El corte ingles"/>
    <s v="Frigorifico"/>
    <n v="7"/>
    <n v="800"/>
    <n v="5600"/>
  </r>
  <r>
    <x v="0"/>
    <x v="7"/>
    <x v="0"/>
    <s v="01"/>
    <x v="5"/>
    <s v="C.C. Vicar"/>
    <s v="Frigorifico"/>
    <n v="61.3494254364686"/>
    <n v="809.14865164475395"/>
    <n v="49640.804871098939"/>
  </r>
  <r>
    <x v="0"/>
    <x v="7"/>
    <x v="0"/>
    <s v="01"/>
    <x v="7"/>
    <s v="C.C. Nervion"/>
    <s v="Home Cinema"/>
    <n v="42"/>
    <n v="650"/>
    <n v="27300"/>
  </r>
  <r>
    <x v="0"/>
    <x v="7"/>
    <x v="3"/>
    <s v="13"/>
    <x v="1"/>
    <s v="C.C. Vicar"/>
    <s v="Frigorifico"/>
    <n v="197"/>
    <n v="800"/>
    <n v="157600"/>
  </r>
  <r>
    <x v="0"/>
    <x v="7"/>
    <x v="4"/>
    <s v="13"/>
    <x v="12"/>
    <s v="Metromar"/>
    <s v="TV 32 pulgadas"/>
    <n v="176"/>
    <n v="1200"/>
    <n v="4800"/>
  </r>
  <r>
    <x v="0"/>
    <x v="7"/>
    <x v="0"/>
    <s v="15"/>
    <x v="3"/>
    <s v="El corte ingles"/>
    <s v="TV 32 pulgadas"/>
    <n v="57.029826362409104"/>
    <n v="824.52863369284603"/>
    <n v="47022.72481033743"/>
  </r>
  <r>
    <x v="0"/>
    <x v="7"/>
    <x v="5"/>
    <s v="16"/>
    <x v="7"/>
    <s v="Metromar"/>
    <s v="TV 32 pulgadas"/>
    <n v="41"/>
    <n v="1200"/>
    <n v="49200"/>
  </r>
  <r>
    <x v="0"/>
    <x v="7"/>
    <x v="5"/>
    <s v="16"/>
    <x v="16"/>
    <s v="El corte ingles"/>
    <s v="Aspiradora"/>
    <n v="70"/>
    <n v="820"/>
    <n v="57400"/>
  </r>
  <r>
    <x v="0"/>
    <x v="7"/>
    <x v="2"/>
    <s v="19"/>
    <x v="11"/>
    <s v="El corte ingles"/>
    <s v="Lavadora 8 Kg"/>
    <n v="36"/>
    <n v="450"/>
    <n v="16200"/>
  </r>
  <r>
    <x v="0"/>
    <x v="7"/>
    <x v="3"/>
    <s v="20"/>
    <x v="6"/>
    <s v="C.C. Vicar"/>
    <s v="TV 32 pulgadas"/>
    <n v="161"/>
    <n v="1200"/>
    <n v="193200"/>
  </r>
  <r>
    <x v="0"/>
    <x v="7"/>
    <x v="3"/>
    <s v="20"/>
    <x v="15"/>
    <s v="Supermercados MAS"/>
    <s v="Aspiradora"/>
    <n v="43"/>
    <n v="820"/>
    <n v="35260"/>
  </r>
  <r>
    <x v="0"/>
    <x v="7"/>
    <x v="3"/>
    <s v="20"/>
    <x v="12"/>
    <s v="Carrefour"/>
    <s v="Aspiradora"/>
    <n v="20"/>
    <n v="820"/>
    <n v="16400"/>
  </r>
  <r>
    <x v="0"/>
    <x v="7"/>
    <x v="0"/>
    <s v="22"/>
    <x v="18"/>
    <s v="C.C. Nervion"/>
    <s v="Aspiradora"/>
    <n v="3"/>
    <n v="820"/>
    <n v="2460"/>
  </r>
  <r>
    <x v="0"/>
    <x v="7"/>
    <x v="0"/>
    <s v="22"/>
    <x v="2"/>
    <s v="El corte ingles"/>
    <s v="Frigorifico"/>
    <n v="3"/>
    <n v="800"/>
    <n v="2400"/>
  </r>
  <r>
    <x v="0"/>
    <x v="7"/>
    <x v="5"/>
    <s v="23"/>
    <x v="3"/>
    <s v="Supermercados MAS"/>
    <s v="Lavadora 8 Kg"/>
    <n v="55.178569616383598"/>
    <n v="831.12005457060002"/>
    <n v="45860.015790696387"/>
  </r>
  <r>
    <x v="0"/>
    <x v="7"/>
    <x v="5"/>
    <s v="23"/>
    <x v="9"/>
    <s v="El corte ingles"/>
    <s v="Aspiradora"/>
    <n v="28"/>
    <n v="950"/>
    <n v="26600"/>
  </r>
  <r>
    <x v="0"/>
    <x v="7"/>
    <x v="5"/>
    <s v="23"/>
    <x v="11"/>
    <s v="C.C. Nervion"/>
    <s v="Lavadora 8 Kg"/>
    <n v="19"/>
    <n v="450"/>
    <n v="8550"/>
  </r>
  <r>
    <x v="0"/>
    <x v="7"/>
    <x v="3"/>
    <s v="27"/>
    <x v="12"/>
    <s v="C.C. Nervion"/>
    <s v="TV 32 pulgadas"/>
    <n v="47"/>
    <n v="1200"/>
    <n v="56400"/>
  </r>
  <r>
    <x v="0"/>
    <x v="8"/>
    <x v="2"/>
    <s v="03"/>
    <x v="16"/>
    <s v="C.C. Vicar"/>
    <s v="TV 32 pulgadas"/>
    <n v="66"/>
    <n v="1200"/>
    <n v="79200"/>
  </r>
  <r>
    <x v="0"/>
    <x v="8"/>
    <x v="6"/>
    <s v="02"/>
    <x v="13"/>
    <s v="Carrefour"/>
    <s v="Home Cinema"/>
    <n v="62.377903406482702"/>
    <n v="805.48675015701303"/>
    <n v="50244.574696495823"/>
  </r>
  <r>
    <x v="0"/>
    <x v="8"/>
    <x v="2"/>
    <s v="03"/>
    <x v="1"/>
    <s v="Supermercados MAS"/>
    <s v="Lavadora 8 Kg"/>
    <n v="18"/>
    <n v="450"/>
    <n v="8100"/>
  </r>
  <r>
    <x v="0"/>
    <x v="8"/>
    <x v="3"/>
    <s v="04"/>
    <x v="5"/>
    <s v="Supermercados MAS"/>
    <s v="Aspiradora"/>
    <n v="14"/>
    <n v="820"/>
    <n v="11480"/>
  </r>
  <r>
    <x v="0"/>
    <x v="8"/>
    <x v="4"/>
    <s v="05"/>
    <x v="1"/>
    <s v="Carrefour"/>
    <s v="Home Cinema"/>
    <n v="145"/>
    <n v="650"/>
    <n v="94250"/>
  </r>
  <r>
    <x v="0"/>
    <x v="8"/>
    <x v="4"/>
    <s v="05"/>
    <x v="16"/>
    <s v="Supermercados MAS"/>
    <s v="Aspiradora"/>
    <n v="6"/>
    <n v="950"/>
    <n v="5700"/>
  </r>
  <r>
    <x v="0"/>
    <x v="8"/>
    <x v="0"/>
    <s v="06"/>
    <x v="1"/>
    <s v="C.C. Nervion"/>
    <s v="Home Cinema"/>
    <n v="3"/>
    <n v="650"/>
    <n v="1950"/>
  </r>
  <r>
    <x v="0"/>
    <x v="8"/>
    <x v="0"/>
    <s v="06"/>
    <x v="11"/>
    <s v="C.C. Nervion"/>
    <s v="TV 32 pulgadas"/>
    <n v="55"/>
    <n v="1200"/>
    <n v="66000"/>
  </r>
  <r>
    <x v="0"/>
    <x v="8"/>
    <x v="6"/>
    <s v="09"/>
    <x v="15"/>
    <s v="Supermercados MAS"/>
    <s v="Aspiradora"/>
    <n v="1"/>
    <n v="820"/>
    <n v="820"/>
  </r>
  <r>
    <x v="0"/>
    <x v="8"/>
    <x v="2"/>
    <s v="10"/>
    <x v="3"/>
    <s v="Metromar"/>
    <s v="Frigorifico"/>
    <n v="38"/>
    <n v="800"/>
    <n v="30400"/>
  </r>
  <r>
    <x v="0"/>
    <x v="8"/>
    <x v="2"/>
    <s v="10"/>
    <x v="0"/>
    <s v="Supermercados MAS"/>
    <s v="Frigorifico"/>
    <n v="5"/>
    <n v="800"/>
    <n v="4000"/>
  </r>
  <r>
    <x v="0"/>
    <x v="8"/>
    <x v="2"/>
    <s v="10"/>
    <x v="8"/>
    <s v="C.C. Vicar"/>
    <s v="Aspiradora"/>
    <n v="20"/>
    <n v="820"/>
    <n v="16400"/>
  </r>
  <r>
    <x v="0"/>
    <x v="8"/>
    <x v="1"/>
    <s v="01"/>
    <x v="13"/>
    <s v="El corte ingles"/>
    <s v="Aspiradora"/>
    <n v="64.229158152508205"/>
    <n v="798.89533027936"/>
    <n v="51312.374515813288"/>
  </r>
  <r>
    <x v="0"/>
    <x v="8"/>
    <x v="5"/>
    <s v="14"/>
    <x v="3"/>
    <s v="C.C. Nervion"/>
    <s v="Frigorifico"/>
    <n v="4"/>
    <n v="800"/>
    <n v="3200"/>
  </r>
  <r>
    <x v="0"/>
    <x v="8"/>
    <x v="1"/>
    <s v="15"/>
    <x v="4"/>
    <s v="C.C. Vicar"/>
    <s v="Aspiradora"/>
    <n v="78"/>
    <n v="820"/>
    <n v="63960"/>
  </r>
  <r>
    <x v="0"/>
    <x v="8"/>
    <x v="1"/>
    <s v="15"/>
    <x v="9"/>
    <s v="El corte ingles"/>
    <s v="Frigorifico"/>
    <n v="7"/>
    <n v="800"/>
    <n v="5600"/>
  </r>
  <r>
    <x v="0"/>
    <x v="8"/>
    <x v="2"/>
    <s v="17"/>
    <x v="13"/>
    <s v="Supermercados MAS"/>
    <s v="Lavadora 8 Kg"/>
    <n v="29"/>
    <n v="450"/>
    <n v="13050"/>
  </r>
  <r>
    <x v="0"/>
    <x v="8"/>
    <x v="2"/>
    <s v="17"/>
    <x v="6"/>
    <s v="El corte ingles"/>
    <s v="Aspiradora"/>
    <n v="58.1817194488249"/>
    <n v="820.42730514668801"/>
    <n v="47733.871296200057"/>
  </r>
  <r>
    <x v="0"/>
    <x v="8"/>
    <x v="2"/>
    <s v="17"/>
    <x v="14"/>
    <s v="C.C. Vicar"/>
    <s v="Aspiradora"/>
    <n v="49"/>
    <n v="820"/>
    <n v="40180"/>
  </r>
  <r>
    <x v="0"/>
    <x v="8"/>
    <x v="3"/>
    <s v="18"/>
    <x v="7"/>
    <s v="C.C. Vicar"/>
    <s v="Aspiradora"/>
    <n v="173"/>
    <n v="950"/>
    <n v="164350"/>
  </r>
  <r>
    <x v="0"/>
    <x v="8"/>
    <x v="3"/>
    <s v="18"/>
    <x v="9"/>
    <s v="C.C. Vicar"/>
    <s v="Frigorifico"/>
    <n v="267"/>
    <n v="800"/>
    <n v="213600"/>
  </r>
  <r>
    <x v="0"/>
    <x v="8"/>
    <x v="0"/>
    <s v="20"/>
    <x v="1"/>
    <s v="Metromar"/>
    <s v="TV 32 pulgadas"/>
    <n v="73"/>
    <n v="1200"/>
    <n v="87600"/>
  </r>
  <r>
    <x v="0"/>
    <x v="8"/>
    <x v="5"/>
    <s v="21"/>
    <x v="6"/>
    <s v="C.C. Vicar"/>
    <s v="Aspiradora"/>
    <n v="68.055088760960899"/>
    <n v="785.27306046533499"/>
    <n v="53441.827831559785"/>
  </r>
  <r>
    <x v="0"/>
    <x v="8"/>
    <x v="6"/>
    <s v="23"/>
    <x v="3"/>
    <s v="C.C. Vicar"/>
    <s v="TV 32 pulgadas"/>
    <n v="67.2323079849496"/>
    <n v="788.20258085544799"/>
    <n v="52992.678670605615"/>
  </r>
  <r>
    <x v="0"/>
    <x v="8"/>
    <x v="3"/>
    <s v="25"/>
    <x v="5"/>
    <s v="Metromar"/>
    <s v="Frigorifico"/>
    <n v="38"/>
    <n v="800"/>
    <n v="30400"/>
  </r>
  <r>
    <x v="0"/>
    <x v="8"/>
    <x v="4"/>
    <s v="26"/>
    <x v="11"/>
    <s v="Metromar"/>
    <s v="Aspiradora"/>
    <n v="32"/>
    <n v="950"/>
    <n v="30400"/>
  </r>
  <r>
    <x v="0"/>
    <x v="8"/>
    <x v="5"/>
    <s v="28"/>
    <x v="14"/>
    <s v="Supermercados MAS"/>
    <s v="Aspiradora"/>
    <n v="4"/>
    <n v="820"/>
    <n v="3280"/>
  </r>
  <r>
    <x v="0"/>
    <x v="8"/>
    <x v="2"/>
    <s v="31"/>
    <x v="6"/>
    <s v="C.C. Nervion"/>
    <s v="Home Cinema"/>
    <n v="59.703863884445902"/>
    <n v="815.00769242497995"/>
    <n v="48659.108333317352"/>
  </r>
  <r>
    <x v="0"/>
    <x v="8"/>
    <x v="2"/>
    <s v="31"/>
    <x v="13"/>
    <s v="Metromar"/>
    <s v="Frigorifico"/>
    <n v="64.887382773317299"/>
    <n v="796.55171396726905"/>
    <n v="51686.155962936144"/>
  </r>
  <r>
    <x v="0"/>
    <x v="8"/>
    <x v="2"/>
    <s v="31"/>
    <x v="4"/>
    <s v="Metromar"/>
    <s v="Home Cinema"/>
    <n v="4"/>
    <n v="650"/>
    <n v="2600"/>
  </r>
  <r>
    <x v="0"/>
    <x v="8"/>
    <x v="2"/>
    <s v="31"/>
    <x v="16"/>
    <s v="C.C. Nervion"/>
    <s v="TV 32 pulgadas"/>
    <n v="28"/>
    <n v="1200"/>
    <n v="33600"/>
  </r>
  <r>
    <x v="0"/>
    <x v="9"/>
    <x v="6"/>
    <s v="02"/>
    <x v="14"/>
    <s v="Carrefour"/>
    <s v="Lavadora 8 Kg"/>
    <n v="165"/>
    <n v="450"/>
    <n v="74250"/>
  </r>
  <r>
    <x v="0"/>
    <x v="9"/>
    <x v="0"/>
    <s v="06"/>
    <x v="19"/>
    <s v="C.C. Nervion"/>
    <s v="Aspiradora"/>
    <n v="2"/>
    <n v="820"/>
    <n v="1640"/>
  </r>
  <r>
    <x v="0"/>
    <x v="9"/>
    <x v="1"/>
    <s v="08"/>
    <x v="2"/>
    <s v="Metromar"/>
    <s v="Lavadora 8 Kg"/>
    <n v="27"/>
    <n v="450"/>
    <n v="12150"/>
  </r>
  <r>
    <x v="0"/>
    <x v="9"/>
    <x v="2"/>
    <s v="10"/>
    <x v="3"/>
    <s v="El corte ingles"/>
    <s v="TV 32 pulgadas"/>
    <n v="55.631099043189799"/>
    <n v="829.50881835603798"/>
    <n v="46146.487231164087"/>
  </r>
  <r>
    <x v="0"/>
    <x v="9"/>
    <x v="1"/>
    <s v="01"/>
    <x v="11"/>
    <s v="C.C. Vicar"/>
    <s v="Frigorifico"/>
    <n v="199"/>
    <n v="800"/>
    <n v="159200"/>
  </r>
  <r>
    <x v="0"/>
    <x v="9"/>
    <x v="0"/>
    <s v="13"/>
    <x v="15"/>
    <s v="Carrefour"/>
    <s v="Frigorifico"/>
    <n v="1"/>
    <n v="800"/>
    <n v="800"/>
  </r>
  <r>
    <x v="0"/>
    <x v="9"/>
    <x v="5"/>
    <s v="14"/>
    <x v="11"/>
    <s v="Metromar"/>
    <s v="Frigorifico"/>
    <n v="23"/>
    <n v="800"/>
    <n v="18400"/>
  </r>
  <r>
    <x v="0"/>
    <x v="9"/>
    <x v="1"/>
    <s v="15"/>
    <x v="6"/>
    <s v="Metromar"/>
    <s v="Lavadora 8 Kg"/>
    <n v="59.292473496440202"/>
    <n v="816.47245262003605"/>
    <n v="48410.671257547016"/>
  </r>
  <r>
    <x v="0"/>
    <x v="9"/>
    <x v="1"/>
    <s v="15"/>
    <x v="12"/>
    <s v="C.C. Nervion"/>
    <s v="TV 32 pulgadas"/>
    <n v="21"/>
    <n v="1200"/>
    <n v="25200"/>
  </r>
  <r>
    <x v="0"/>
    <x v="9"/>
    <x v="6"/>
    <s v="16"/>
    <x v="3"/>
    <s v="C.C. Nervion"/>
    <s v="TV 32 pulgadas"/>
    <n v="54.931735383580197"/>
    <n v="831.99891068763395"/>
    <n v="45703.144001320084"/>
  </r>
  <r>
    <x v="0"/>
    <x v="9"/>
    <x v="6"/>
    <s v="16"/>
    <x v="6"/>
    <s v="C.C. Vicar"/>
    <s v="Frigorifico"/>
    <n v="59.4570296516425"/>
    <n v="815.88654854202105"/>
    <n v="48510.190709039205"/>
  </r>
  <r>
    <x v="0"/>
    <x v="9"/>
    <x v="2"/>
    <s v="17"/>
    <x v="1"/>
    <s v="Carrefour"/>
    <s v="Aspiradora"/>
    <n v="18"/>
    <n v="950"/>
    <n v="17100"/>
  </r>
  <r>
    <x v="0"/>
    <x v="9"/>
    <x v="4"/>
    <s v="19"/>
    <x v="2"/>
    <s v="Supermercados MAS"/>
    <s v="Aspiradora"/>
    <n v="18"/>
    <n v="820"/>
    <n v="14760"/>
  </r>
  <r>
    <x v="0"/>
    <x v="9"/>
    <x v="0"/>
    <s v="20"/>
    <x v="14"/>
    <s v="El corte ingles"/>
    <s v="Aspiradora"/>
    <n v="46"/>
    <n v="820"/>
    <n v="37720"/>
  </r>
  <r>
    <x v="0"/>
    <x v="9"/>
    <x v="0"/>
    <s v="20"/>
    <x v="14"/>
    <s v="El corte ingles"/>
    <s v="Frigorifico"/>
    <n v="9"/>
    <n v="800"/>
    <n v="7200"/>
  </r>
  <r>
    <x v="0"/>
    <x v="9"/>
    <x v="1"/>
    <s v="22"/>
    <x v="4"/>
    <s v="Carrefour"/>
    <s v="Aspiradora"/>
    <s v="014"/>
    <n v="820"/>
    <n v="11480"/>
  </r>
  <r>
    <x v="0"/>
    <x v="9"/>
    <x v="6"/>
    <s v="23"/>
    <x v="3"/>
    <s v="Carrefour"/>
    <s v="Frigorifico"/>
    <n v="66.738639519342797"/>
    <n v="789.96029308951495"/>
    <n v="52720.875235095518"/>
  </r>
  <r>
    <x v="0"/>
    <x v="9"/>
    <x v="5"/>
    <s v="28"/>
    <x v="9"/>
    <s v="C.C. Nervion"/>
    <s v="Home Cinema"/>
    <n v="1"/>
    <n v="650"/>
    <n v="650"/>
  </r>
  <r>
    <x v="0"/>
    <x v="9"/>
    <x v="1"/>
    <s v="29"/>
    <x v="1"/>
    <s v="Metromar"/>
    <s v="Frigorifico"/>
    <n v="32"/>
    <n v="800"/>
    <n v="25600"/>
  </r>
  <r>
    <x v="0"/>
    <x v="9"/>
    <x v="1"/>
    <s v="29"/>
    <x v="1"/>
    <s v="Carrefour"/>
    <s v="Home Cinema"/>
    <n v="249"/>
    <n v="650"/>
    <n v="161850"/>
  </r>
  <r>
    <x v="0"/>
    <x v="9"/>
    <x v="1"/>
    <s v="29"/>
    <x v="18"/>
    <s v="El corte ingles"/>
    <s v="Home Cinema"/>
    <n v="41"/>
    <n v="650"/>
    <n v="26650"/>
  </r>
  <r>
    <x v="0"/>
    <x v="9"/>
    <x v="6"/>
    <s v="30"/>
    <x v="7"/>
    <s v="El corte ingles"/>
    <s v="Frigorifico"/>
    <n v="45"/>
    <n v="800"/>
    <n v="36000"/>
  </r>
  <r>
    <x v="0"/>
    <x v="10"/>
    <x v="1"/>
    <s v="03"/>
    <x v="6"/>
    <s v="El corte ingles"/>
    <s v="Aspiradora"/>
    <n v="10"/>
    <n v="820"/>
    <n v="8200"/>
  </r>
  <r>
    <x v="0"/>
    <x v="10"/>
    <x v="1"/>
    <s v="03"/>
    <x v="12"/>
    <s v="Carrefour"/>
    <s v="Lavadora 8 Kg"/>
    <n v="55"/>
    <n v="450"/>
    <n v="24750"/>
  </r>
  <r>
    <x v="0"/>
    <x v="10"/>
    <x v="1"/>
    <s v="03"/>
    <x v="16"/>
    <s v="El corte ingles"/>
    <s v="Frigorifico"/>
    <n v="27"/>
    <n v="800"/>
    <n v="21600"/>
  </r>
  <r>
    <x v="0"/>
    <x v="10"/>
    <x v="5"/>
    <s v="02"/>
    <x v="0"/>
    <s v="Carrefour"/>
    <s v="Aspiradora"/>
    <n v="75"/>
    <n v="950"/>
    <n v="71250"/>
  </r>
  <r>
    <x v="0"/>
    <x v="10"/>
    <x v="0"/>
    <s v="08"/>
    <x v="3"/>
    <s v="El corte ingles"/>
    <s v="Aspiradora"/>
    <s v="016"/>
    <n v="950"/>
    <n v="15200"/>
  </r>
  <r>
    <x v="0"/>
    <x v="10"/>
    <x v="5"/>
    <s v="09"/>
    <x v="6"/>
    <s v="C.C. Vicar"/>
    <s v="TV 32 pulgadas"/>
    <n v="58.346275604027198"/>
    <n v="819.84140306866595"/>
    <n v="47834.692455036733"/>
  </r>
  <r>
    <x v="0"/>
    <x v="10"/>
    <x v="1"/>
    <s v="10"/>
    <x v="19"/>
    <s v="El corte ingles"/>
    <s v="Frigorifico"/>
    <n v="18"/>
    <n v="800"/>
    <n v="14400"/>
  </r>
  <r>
    <x v="0"/>
    <x v="10"/>
    <x v="1"/>
    <s v="10"/>
    <x v="16"/>
    <s v="Metromar"/>
    <s v="Lavadora 8 Kg"/>
    <n v="39"/>
    <n v="450"/>
    <n v="17550"/>
  </r>
  <r>
    <x v="0"/>
    <x v="10"/>
    <x v="0"/>
    <s v="01"/>
    <x v="4"/>
    <s v="C.C. Nervion"/>
    <s v="TV 32 pulgadas"/>
    <n v="3"/>
    <n v="1200"/>
    <n v="3600"/>
  </r>
  <r>
    <x v="0"/>
    <x v="10"/>
    <x v="2"/>
    <s v="12"/>
    <x v="3"/>
    <s v="Carrefour"/>
    <s v="Aspiradora"/>
    <n v="58"/>
    <n v="820"/>
    <n v="47560"/>
  </r>
  <r>
    <x v="0"/>
    <x v="10"/>
    <x v="3"/>
    <s v="13"/>
    <x v="6"/>
    <s v="C.C. Vicar"/>
    <s v="Lavadora 8 Kg"/>
    <n v="68.589896265368296"/>
    <n v="783.36887220176197"/>
    <n v="53731.189681837408"/>
  </r>
  <r>
    <x v="0"/>
    <x v="10"/>
    <x v="3"/>
    <s v="13"/>
    <x v="16"/>
    <s v="C.C. Vicar"/>
    <s v="Lavadora 8 Kg"/>
    <n v="70"/>
    <n v="450"/>
    <n v="31500"/>
  </r>
  <r>
    <x v="0"/>
    <x v="10"/>
    <x v="5"/>
    <s v="16"/>
    <x v="5"/>
    <s v="El corte ingles"/>
    <s v="Aspiradora"/>
    <n v="60.526644660457201"/>
    <n v="812.07817203486695"/>
    <n v="49152.366955268022"/>
  </r>
  <r>
    <x v="0"/>
    <x v="10"/>
    <x v="5"/>
    <s v="16"/>
    <x v="11"/>
    <s v="C.C. Vicar"/>
    <s v="Frigorifico"/>
    <n v="57"/>
    <n v="800"/>
    <n v="45600"/>
  </r>
  <r>
    <x v="0"/>
    <x v="10"/>
    <x v="1"/>
    <s v="17"/>
    <x v="15"/>
    <s v="El corte ingles"/>
    <s v="Aspiradora"/>
    <n v="28"/>
    <n v="820"/>
    <n v="22960"/>
  </r>
  <r>
    <x v="0"/>
    <x v="10"/>
    <x v="6"/>
    <s v="18"/>
    <x v="14"/>
    <s v="Carrefour"/>
    <s v="Lavadora 8 Kg"/>
    <n v="29"/>
    <n v="450"/>
    <n v="13050"/>
  </r>
  <r>
    <x v="0"/>
    <x v="10"/>
    <x v="2"/>
    <s v="19"/>
    <x v="14"/>
    <s v="Carrefour"/>
    <s v="Aspiradora"/>
    <n v="14"/>
    <n v="820"/>
    <n v="11480"/>
  </r>
  <r>
    <x v="0"/>
    <x v="10"/>
    <x v="3"/>
    <s v="20"/>
    <x v="5"/>
    <s v="Carrefour"/>
    <s v="Frigorifico"/>
    <n v="61.719676785673698"/>
    <n v="807.83036746920402"/>
    <n v="49859.029177851284"/>
  </r>
  <r>
    <x v="0"/>
    <x v="10"/>
    <x v="3"/>
    <s v="20"/>
    <x v="13"/>
    <s v="Carrefour"/>
    <s v="Aspiradora"/>
    <n v="63.612072570499699"/>
    <n v="803.09247057194398"/>
    <n v="51086.376518844394"/>
  </r>
  <r>
    <x v="0"/>
    <x v="10"/>
    <x v="4"/>
    <s v="21"/>
    <x v="3"/>
    <s v="C.C. Nervion"/>
    <s v="Aspiradora"/>
    <n v="57.400077701614201"/>
    <n v="823.21034951729598"/>
    <n v="47252.338027065773"/>
  </r>
  <r>
    <x v="0"/>
    <x v="10"/>
    <x v="0"/>
    <s v="22"/>
    <x v="3"/>
    <s v="C.C. Vicar"/>
    <s v="TV 32 pulgadas"/>
    <n v="130"/>
    <n v="1200"/>
    <n v="156000"/>
  </r>
  <r>
    <x v="0"/>
    <x v="10"/>
    <x v="0"/>
    <s v="22"/>
    <x v="4"/>
    <s v="Metromar"/>
    <s v="TV 32 pulgadas"/>
    <n v="60"/>
    <n v="1200"/>
    <n v="72000"/>
  </r>
  <r>
    <x v="0"/>
    <x v="10"/>
    <x v="6"/>
    <s v="25"/>
    <x v="13"/>
    <s v="El corte ingles"/>
    <s v="Home Cinema"/>
    <n v="62.994986988491199"/>
    <n v="803.28961086452898"/>
    <n v="50603.218584401162"/>
  </r>
  <r>
    <x v="0"/>
    <x v="10"/>
    <x v="3"/>
    <s v="27"/>
    <x v="3"/>
    <s v="El corte ingles"/>
    <s v="Home Cinema"/>
    <n v="69"/>
    <n v="650"/>
    <n v="4050"/>
  </r>
  <r>
    <x v="0"/>
    <x v="10"/>
    <x v="3"/>
    <s v="27"/>
    <x v="17"/>
    <s v="El corte ingles"/>
    <s v="Frigorifico"/>
    <n v="36"/>
    <n v="800"/>
    <n v="28800"/>
  </r>
  <r>
    <x v="0"/>
    <x v="10"/>
    <x v="4"/>
    <s v="28"/>
    <x v="1"/>
    <s v="C.C. Nervion"/>
    <s v="Lavadora 8 Kg"/>
    <n v="9"/>
    <n v="450"/>
    <n v="4050"/>
  </r>
  <r>
    <x v="0"/>
    <x v="10"/>
    <x v="4"/>
    <s v="28"/>
    <x v="14"/>
    <s v="El corte ingles"/>
    <s v="Home Cinema"/>
    <s v="01"/>
    <n v="650"/>
    <n v="650"/>
  </r>
  <r>
    <x v="0"/>
    <x v="10"/>
    <x v="4"/>
    <s v="28"/>
    <x v="17"/>
    <s v="Supermercados MAS"/>
    <s v="Lavadora 8 Kg"/>
    <n v="7"/>
    <n v="450"/>
    <n v="3150"/>
  </r>
  <r>
    <x v="0"/>
    <x v="10"/>
    <x v="0"/>
    <s v="29"/>
    <x v="9"/>
    <s v="Metromar"/>
    <s v="Aspiradora"/>
    <n v="166"/>
    <n v="950"/>
    <n v="157700"/>
  </r>
  <r>
    <x v="0"/>
    <x v="10"/>
    <x v="0"/>
    <s v="29"/>
    <x v="8"/>
    <s v="El corte ingles"/>
    <s v="Aspiradora"/>
    <n v="21"/>
    <n v="820"/>
    <n v="17220"/>
  </r>
  <r>
    <x v="0"/>
    <x v="10"/>
    <x v="5"/>
    <s v="30"/>
    <x v="15"/>
    <s v="C.C. Vicar"/>
    <s v="Frigorifico"/>
    <n v="97"/>
    <n v="800"/>
    <n v="77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EC2D5-2AD1-4FBA-AAB1-95609B1DCC5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/>
  <pivotFields count="10">
    <pivotField showAll="0">
      <items count="2">
        <item x="0"/>
        <item t="default"/>
      </items>
    </pivotField>
    <pivotField axis="axisRow" showAll="0">
      <items count="12">
        <item x="9"/>
        <item x="1"/>
        <item x="0"/>
        <item x="2"/>
        <item x="3"/>
        <item x="4"/>
        <item x="5"/>
        <item x="6"/>
        <item x="7"/>
        <item x="8"/>
        <item x="10"/>
        <item t="default"/>
      </items>
    </pivotField>
    <pivotField showAll="0">
      <items count="8">
        <item x="3"/>
        <item x="4"/>
        <item x="0"/>
        <item x="5"/>
        <item x="1"/>
        <item x="6"/>
        <item x="2"/>
        <item t="default"/>
      </items>
    </pivotField>
    <pivotField showAll="0"/>
    <pivotField showAll="0">
      <items count="21">
        <item x="7"/>
        <item x="18"/>
        <item x="11"/>
        <item x="19"/>
        <item x="16"/>
        <item x="14"/>
        <item x="13"/>
        <item x="0"/>
        <item x="6"/>
        <item x="5"/>
        <item x="12"/>
        <item x="8"/>
        <item x="1"/>
        <item x="10"/>
        <item x="9"/>
        <item x="3"/>
        <item x="15"/>
        <item x="2"/>
        <item x="17"/>
        <item x="4"/>
        <item t="default"/>
      </items>
    </pivotField>
    <pivotField showAll="0"/>
    <pivotField showAll="0"/>
    <pivotField dataField="1" showAll="0"/>
    <pivotField numFmtI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ntidad" fld="7" baseField="1" baseItem="0" numFmtId="3"/>
    <dataField name="Sum of Cantidad2" fld="7" showDataAs="percentOfTotal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D011E-50B8-4A4D-866C-85973F4F6D23}" name="TablaDinámica1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H15" firstHeaderRow="1" firstDataRow="2" firstDataCol="1"/>
  <pivotFields count="10">
    <pivotField showAll="0"/>
    <pivotField axis="axisRow" showAll="0" nonAutoSortDefault="1">
      <items count="12">
        <item sd="0" x="9"/>
        <item sd="0" x="1"/>
        <item sd="0" x="0"/>
        <item sd="0" x="2"/>
        <item sd="0" x="3"/>
        <item sd="0" x="4"/>
        <item sd="0" x="5"/>
        <item sd="0" x="6"/>
        <item sd="0" x="7"/>
        <item sd="0" x="8"/>
        <item sd="0" x="10"/>
        <item t="default"/>
      </items>
    </pivotField>
    <pivotField axis="axisCol" showAll="0" nonAutoSortDefault="1">
      <items count="9">
        <item x="3"/>
        <item x="4"/>
        <item x="0"/>
        <item x="5"/>
        <item x="1"/>
        <item x="6"/>
        <item x="2"/>
        <item m="1" x="7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dataField="1" numFmtI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uenta de Total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C7FB0-B24D-42FD-AA15-D0FA112F5C0B}" name="Table1" displayName="Table1" ref="A1:J307" totalsRowShown="0" headerRowDxfId="0" dataDxfId="1">
  <autoFilter ref="A1:J307" xr:uid="{00000000-0001-0000-0000-000000000000}"/>
  <tableColumns count="10">
    <tableColumn id="1" xr3:uid="{FAD97E7C-110B-43CD-92FF-696AF7AC732B}" name="Año" dataDxfId="11"/>
    <tableColumn id="2" xr3:uid="{62F75F01-4278-4F8C-BD45-F5E1B8B941AF}" name="Mes" dataDxfId="10"/>
    <tableColumn id="3" xr3:uid="{77B723FF-A2FF-47D6-BD3D-63F6359AC0C6}" name="Dia semana" dataDxfId="9"/>
    <tableColumn id="4" xr3:uid="{26FFF683-0398-48E7-9E5D-E6F433EBDDF4}" name="Dia" dataDxfId="8"/>
    <tableColumn id="5" xr3:uid="{661C4A83-DC24-47F0-A129-519F6F1073F2}" name="Provincia" dataDxfId="7"/>
    <tableColumn id="6" xr3:uid="{95211F8C-54E9-41A3-A66C-98F5CB4DEC9E}" name="Centro" dataDxfId="6"/>
    <tableColumn id="7" xr3:uid="{663B29CD-E90A-47FA-9C87-FF77F49C0A42}" name="Producto" dataDxfId="5"/>
    <tableColumn id="8" xr3:uid="{D3067565-DEE7-4923-8C42-18BBC72510A1}" name="Cantidad" dataDxfId="4"/>
    <tableColumn id="9" xr3:uid="{5E70E5AE-D027-4478-B925-C035ED55B121}" name="Precio" dataDxfId="3"/>
    <tableColumn id="10" xr3:uid="{67655B0C-35A3-4DBE-A590-54CF62AF641F}" name="Total" dataDxfId="2">
      <calculatedColumnFormula>H2*I2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4AE3-E52B-46E7-B9D7-9A70BF340A89}">
  <dimension ref="A3:C15"/>
  <sheetViews>
    <sheetView tabSelected="1" topLeftCell="B2" zoomScale="129" workbookViewId="0">
      <selection activeCell="F13" sqref="F13"/>
    </sheetView>
  </sheetViews>
  <sheetFormatPr defaultRowHeight="14.4" x14ac:dyDescent="0.3"/>
  <cols>
    <col min="1" max="1" width="12.5546875" bestFit="1" customWidth="1"/>
    <col min="2" max="2" width="15.109375" bestFit="1" customWidth="1"/>
    <col min="3" max="3" width="16.109375" bestFit="1" customWidth="1"/>
  </cols>
  <sheetData>
    <row r="3" spans="1:3" x14ac:dyDescent="0.3">
      <c r="A3" s="4" t="s">
        <v>96</v>
      </c>
      <c r="B3" t="s">
        <v>98</v>
      </c>
      <c r="C3" t="s">
        <v>99</v>
      </c>
    </row>
    <row r="4" spans="1:3" x14ac:dyDescent="0.3">
      <c r="A4" s="5" t="s">
        <v>55</v>
      </c>
      <c r="B4" s="6">
        <v>1193.0509770941953</v>
      </c>
      <c r="C4" s="7">
        <v>7.7040721855209909E-2</v>
      </c>
    </row>
    <row r="5" spans="1:3" x14ac:dyDescent="0.3">
      <c r="A5" s="5" t="s">
        <v>56</v>
      </c>
      <c r="B5" s="6">
        <v>1042.5680021401658</v>
      </c>
      <c r="C5" s="7">
        <v>6.732335248880221E-2</v>
      </c>
    </row>
    <row r="6" spans="1:3" x14ac:dyDescent="0.3">
      <c r="A6" s="5" t="s">
        <v>57</v>
      </c>
      <c r="B6" s="6">
        <v>1978.2613061150241</v>
      </c>
      <c r="C6" s="7">
        <v>0.12774532016438625</v>
      </c>
    </row>
    <row r="7" spans="1:3" x14ac:dyDescent="0.3">
      <c r="A7" s="5" t="s">
        <v>58</v>
      </c>
      <c r="B7" s="6">
        <v>1531.8364787914281</v>
      </c>
      <c r="C7" s="7">
        <v>9.8917640868682669E-2</v>
      </c>
    </row>
    <row r="8" spans="1:3" x14ac:dyDescent="0.3">
      <c r="A8" s="5" t="s">
        <v>59</v>
      </c>
      <c r="B8" s="6">
        <v>718.01012470878902</v>
      </c>
      <c r="C8" s="7">
        <v>4.636517581305917E-2</v>
      </c>
    </row>
    <row r="9" spans="1:3" x14ac:dyDescent="0.3">
      <c r="A9" s="5" t="s">
        <v>60</v>
      </c>
      <c r="B9" s="6">
        <v>1605.6926748099413</v>
      </c>
      <c r="C9" s="7">
        <v>0.10368687098876067</v>
      </c>
    </row>
    <row r="10" spans="1:3" x14ac:dyDescent="0.3">
      <c r="A10" s="5" t="s">
        <v>61</v>
      </c>
      <c r="B10" s="6">
        <v>1227.7642266369446</v>
      </c>
      <c r="C10" s="7">
        <v>7.9282314087276193E-2</v>
      </c>
    </row>
    <row r="11" spans="1:3" x14ac:dyDescent="0.3">
      <c r="A11" s="5" t="s">
        <v>62</v>
      </c>
      <c r="B11" s="6">
        <v>1404.1210411506638</v>
      </c>
      <c r="C11" s="7">
        <v>9.0670474823973349E-2</v>
      </c>
    </row>
    <row r="12" spans="1:3" x14ac:dyDescent="0.3">
      <c r="A12" s="5" t="s">
        <v>63</v>
      </c>
      <c r="B12" s="6">
        <v>1671.8168059301786</v>
      </c>
      <c r="C12" s="7">
        <v>0.10795680655007192</v>
      </c>
    </row>
    <row r="13" spans="1:3" x14ac:dyDescent="0.3">
      <c r="A13" s="5" t="s">
        <v>64</v>
      </c>
      <c r="B13" s="6">
        <v>1601.6674244114893</v>
      </c>
      <c r="C13" s="7">
        <v>0.10342694228303176</v>
      </c>
    </row>
    <row r="14" spans="1:3" x14ac:dyDescent="0.3">
      <c r="A14" s="5" t="s">
        <v>65</v>
      </c>
      <c r="B14" s="6">
        <v>1511.1896305761315</v>
      </c>
      <c r="C14" s="7">
        <v>9.7584380076746011E-2</v>
      </c>
    </row>
    <row r="15" spans="1:3" x14ac:dyDescent="0.3">
      <c r="A15" s="5" t="s">
        <v>97</v>
      </c>
      <c r="B15" s="6">
        <v>15485.97869236495</v>
      </c>
      <c r="C15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7"/>
  <sheetViews>
    <sheetView zoomScaleNormal="100" workbookViewId="0">
      <pane ySplit="1" topLeftCell="A2" activePane="bottomLeft" state="frozen"/>
      <selection pane="bottomLeft" activeCell="A11" sqref="A11"/>
    </sheetView>
  </sheetViews>
  <sheetFormatPr defaultColWidth="11.44140625" defaultRowHeight="14.4" x14ac:dyDescent="0.3"/>
  <cols>
    <col min="1" max="2" width="11.5546875" style="3" customWidth="1"/>
    <col min="3" max="3" width="12" style="1" customWidth="1"/>
    <col min="4" max="4" width="10.6640625" style="1" customWidth="1"/>
    <col min="5" max="5" width="14.33203125" style="1" bestFit="1" customWidth="1"/>
    <col min="6" max="6" width="22.33203125" style="1" bestFit="1" customWidth="1"/>
    <col min="7" max="7" width="21.6640625" style="1" bestFit="1" customWidth="1"/>
    <col min="8" max="8" width="11" style="1" customWidth="1"/>
    <col min="9" max="10" width="11.44140625" style="1"/>
    <col min="12" max="12" width="9" bestFit="1" customWidth="1"/>
    <col min="13" max="13" width="12.5546875" bestFit="1" customWidth="1"/>
  </cols>
  <sheetData>
    <row r="1" spans="1:10" x14ac:dyDescent="0.3">
      <c r="A1" s="3" t="s">
        <v>0</v>
      </c>
      <c r="B1" s="3" t="s">
        <v>54</v>
      </c>
      <c r="C1" s="1" t="s">
        <v>66</v>
      </c>
      <c r="D1" s="1" t="s">
        <v>39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3">
      <c r="A2" s="1">
        <v>2021</v>
      </c>
      <c r="B2" s="3" t="s">
        <v>57</v>
      </c>
      <c r="C2" s="1" t="s">
        <v>43</v>
      </c>
      <c r="D2" s="1" t="s">
        <v>67</v>
      </c>
      <c r="E2" s="1" t="s">
        <v>7</v>
      </c>
      <c r="F2" s="1" t="s">
        <v>8</v>
      </c>
      <c r="G2" s="1" t="s">
        <v>9</v>
      </c>
      <c r="H2" s="2">
        <v>3</v>
      </c>
      <c r="I2" s="2">
        <v>820</v>
      </c>
      <c r="J2" s="2">
        <f>H2*I2</f>
        <v>2460</v>
      </c>
    </row>
    <row r="3" spans="1:10" x14ac:dyDescent="0.3">
      <c r="A3" s="1">
        <v>2021</v>
      </c>
      <c r="B3" s="3" t="s">
        <v>57</v>
      </c>
      <c r="C3" s="1" t="s">
        <v>45</v>
      </c>
      <c r="D3" s="1" t="s">
        <v>68</v>
      </c>
      <c r="E3" s="1" t="s">
        <v>10</v>
      </c>
      <c r="F3" s="1" t="s">
        <v>11</v>
      </c>
      <c r="G3" s="1" t="s">
        <v>12</v>
      </c>
      <c r="H3" s="2">
        <v>154</v>
      </c>
      <c r="I3" s="2">
        <v>800</v>
      </c>
      <c r="J3" s="2">
        <f t="shared" ref="J3:J65" si="0">H3*I3</f>
        <v>123200</v>
      </c>
    </row>
    <row r="4" spans="1:10" x14ac:dyDescent="0.3">
      <c r="A4" s="1">
        <v>2021</v>
      </c>
      <c r="B4" s="3" t="s">
        <v>57</v>
      </c>
      <c r="C4" s="1" t="s">
        <v>47</v>
      </c>
      <c r="D4" s="1" t="s">
        <v>69</v>
      </c>
      <c r="E4" s="1" t="s">
        <v>13</v>
      </c>
      <c r="F4" s="1" t="s">
        <v>14</v>
      </c>
      <c r="G4" s="1" t="s">
        <v>15</v>
      </c>
      <c r="H4" s="2" t="s">
        <v>48</v>
      </c>
      <c r="I4" s="2">
        <v>650</v>
      </c>
      <c r="J4" s="2">
        <f t="shared" si="0"/>
        <v>7150</v>
      </c>
    </row>
    <row r="5" spans="1:10" x14ac:dyDescent="0.3">
      <c r="A5" s="1">
        <v>2021</v>
      </c>
      <c r="B5" s="3" t="s">
        <v>57</v>
      </c>
      <c r="C5" s="1" t="s">
        <v>41</v>
      </c>
      <c r="D5" s="1" t="s">
        <v>49</v>
      </c>
      <c r="E5" s="1" t="s">
        <v>16</v>
      </c>
      <c r="F5" s="1" t="s">
        <v>17</v>
      </c>
      <c r="G5" s="1" t="s">
        <v>9</v>
      </c>
      <c r="H5" s="2">
        <v>65.792441626929801</v>
      </c>
      <c r="I5" s="2">
        <v>793.32924153814497</v>
      </c>
      <c r="J5" s="2">
        <f t="shared" si="0"/>
        <v>52195.067814834896</v>
      </c>
    </row>
    <row r="6" spans="1:10" x14ac:dyDescent="0.3">
      <c r="A6" s="1">
        <v>2021</v>
      </c>
      <c r="B6" s="3" t="s">
        <v>57</v>
      </c>
      <c r="C6" s="1" t="s">
        <v>45</v>
      </c>
      <c r="D6" s="1" t="s">
        <v>70</v>
      </c>
      <c r="E6" s="1" t="s">
        <v>18</v>
      </c>
      <c r="F6" s="1" t="s">
        <v>14</v>
      </c>
      <c r="G6" s="1" t="s">
        <v>12</v>
      </c>
      <c r="H6" s="2">
        <v>56</v>
      </c>
      <c r="I6" s="2">
        <v>800</v>
      </c>
      <c r="J6" s="2">
        <f t="shared" si="0"/>
        <v>44800</v>
      </c>
    </row>
    <row r="7" spans="1:10" x14ac:dyDescent="0.3">
      <c r="A7" s="1">
        <v>2021</v>
      </c>
      <c r="B7" s="3" t="s">
        <v>57</v>
      </c>
      <c r="C7" s="1" t="s">
        <v>47</v>
      </c>
      <c r="D7" s="1" t="s">
        <v>71</v>
      </c>
      <c r="E7" s="1" t="s">
        <v>19</v>
      </c>
      <c r="F7" s="1" t="s">
        <v>8</v>
      </c>
      <c r="G7" s="1" t="s">
        <v>12</v>
      </c>
      <c r="H7" s="2">
        <v>60.567783699257802</v>
      </c>
      <c r="I7" s="2">
        <v>801.93169603536103</v>
      </c>
      <c r="J7" s="2">
        <f t="shared" si="0"/>
        <v>48571.225507048701</v>
      </c>
    </row>
    <row r="8" spans="1:10" x14ac:dyDescent="0.3">
      <c r="A8" s="1">
        <v>2021</v>
      </c>
      <c r="B8" s="3" t="s">
        <v>57</v>
      </c>
      <c r="C8" s="1" t="s">
        <v>42</v>
      </c>
      <c r="D8" s="1" t="s">
        <v>72</v>
      </c>
      <c r="E8" s="1" t="s">
        <v>20</v>
      </c>
      <c r="F8" s="1" t="s">
        <v>8</v>
      </c>
      <c r="G8" s="1" t="s">
        <v>9</v>
      </c>
      <c r="H8" s="2">
        <v>68.260783954963799</v>
      </c>
      <c r="I8" s="2">
        <v>784.540680367807</v>
      </c>
      <c r="J8" s="2">
        <f t="shared" si="0"/>
        <v>53553.361886467181</v>
      </c>
    </row>
    <row r="9" spans="1:10" x14ac:dyDescent="0.3">
      <c r="A9" s="1">
        <v>2021</v>
      </c>
      <c r="B9" s="3" t="s">
        <v>57</v>
      </c>
      <c r="C9" s="1" t="s">
        <v>43</v>
      </c>
      <c r="D9" s="1" t="s">
        <v>73</v>
      </c>
      <c r="E9" s="1" t="s">
        <v>21</v>
      </c>
      <c r="F9" s="1" t="s">
        <v>22</v>
      </c>
      <c r="G9" s="1" t="s">
        <v>23</v>
      </c>
      <c r="H9" s="2">
        <v>230</v>
      </c>
      <c r="I9" s="2">
        <v>1200</v>
      </c>
      <c r="J9" s="2">
        <f t="shared" si="0"/>
        <v>276000</v>
      </c>
    </row>
    <row r="10" spans="1:10" x14ac:dyDescent="0.3">
      <c r="A10" s="1">
        <v>2021</v>
      </c>
      <c r="B10" s="3" t="s">
        <v>57</v>
      </c>
      <c r="C10" s="1" t="s">
        <v>44</v>
      </c>
      <c r="D10" s="1" t="s">
        <v>74</v>
      </c>
      <c r="E10" s="1" t="s">
        <v>24</v>
      </c>
      <c r="F10" s="1" t="s">
        <v>22</v>
      </c>
      <c r="G10" s="1" t="s">
        <v>23</v>
      </c>
      <c r="H10" s="2">
        <v>68</v>
      </c>
      <c r="I10" s="2">
        <v>1200</v>
      </c>
      <c r="J10" s="2">
        <f t="shared" si="0"/>
        <v>81600</v>
      </c>
    </row>
    <row r="11" spans="1:10" x14ac:dyDescent="0.3">
      <c r="A11" s="1">
        <v>2021</v>
      </c>
      <c r="B11" s="3" t="s">
        <v>57</v>
      </c>
      <c r="C11" s="1" t="s">
        <v>47</v>
      </c>
      <c r="D11" s="1" t="s">
        <v>75</v>
      </c>
      <c r="E11" s="1" t="s">
        <v>21</v>
      </c>
      <c r="F11" s="1" t="s">
        <v>17</v>
      </c>
      <c r="G11" s="1" t="s">
        <v>12</v>
      </c>
      <c r="H11" s="2">
        <v>8</v>
      </c>
      <c r="I11" s="2">
        <v>800</v>
      </c>
      <c r="J11" s="2">
        <f t="shared" si="0"/>
        <v>6400</v>
      </c>
    </row>
    <row r="12" spans="1:10" x14ac:dyDescent="0.3">
      <c r="A12" s="1">
        <v>2021</v>
      </c>
      <c r="B12" s="3" t="s">
        <v>57</v>
      </c>
      <c r="C12" s="1" t="s">
        <v>47</v>
      </c>
      <c r="D12" s="1" t="s">
        <v>75</v>
      </c>
      <c r="E12" s="1" t="s">
        <v>26</v>
      </c>
      <c r="F12" s="1" t="s">
        <v>22</v>
      </c>
      <c r="G12" s="1" t="s">
        <v>15</v>
      </c>
      <c r="H12" s="2">
        <v>188</v>
      </c>
      <c r="I12" s="2">
        <v>650</v>
      </c>
      <c r="J12" s="2">
        <f t="shared" si="0"/>
        <v>122200</v>
      </c>
    </row>
    <row r="13" spans="1:10" x14ac:dyDescent="0.3">
      <c r="A13" s="1">
        <v>2021</v>
      </c>
      <c r="B13" s="3" t="s">
        <v>57</v>
      </c>
      <c r="C13" s="1" t="s">
        <v>41</v>
      </c>
      <c r="D13" s="1" t="s">
        <v>76</v>
      </c>
      <c r="E13" s="1" t="s">
        <v>20</v>
      </c>
      <c r="F13" s="1" t="s">
        <v>17</v>
      </c>
      <c r="G13" s="1" t="s">
        <v>23</v>
      </c>
      <c r="H13" s="2">
        <v>18</v>
      </c>
      <c r="I13" s="2">
        <v>1200</v>
      </c>
      <c r="J13" s="2">
        <f t="shared" si="0"/>
        <v>21600</v>
      </c>
    </row>
    <row r="14" spans="1:10" x14ac:dyDescent="0.3">
      <c r="A14" s="1">
        <v>2021</v>
      </c>
      <c r="B14" s="3" t="s">
        <v>57</v>
      </c>
      <c r="C14" s="1" t="s">
        <v>43</v>
      </c>
      <c r="D14" s="1" t="s">
        <v>77</v>
      </c>
      <c r="E14" s="1" t="s">
        <v>7</v>
      </c>
      <c r="F14" s="1" t="s">
        <v>11</v>
      </c>
      <c r="G14" s="1" t="s">
        <v>23</v>
      </c>
      <c r="H14" s="2">
        <v>26</v>
      </c>
      <c r="I14" s="2">
        <v>1200</v>
      </c>
      <c r="J14" s="2">
        <f t="shared" si="0"/>
        <v>31200</v>
      </c>
    </row>
    <row r="15" spans="1:10" x14ac:dyDescent="0.3">
      <c r="A15" s="1">
        <v>2021</v>
      </c>
      <c r="B15" s="3" t="s">
        <v>57</v>
      </c>
      <c r="C15" s="1" t="s">
        <v>44</v>
      </c>
      <c r="D15" s="1" t="s">
        <v>78</v>
      </c>
      <c r="E15" s="1" t="s">
        <v>16</v>
      </c>
      <c r="F15" s="1" t="s">
        <v>8</v>
      </c>
      <c r="G15" s="1" t="s">
        <v>23</v>
      </c>
      <c r="H15" s="2">
        <v>56.453879819203799</v>
      </c>
      <c r="I15" s="2">
        <v>826.57929796592498</v>
      </c>
      <c r="J15" s="2">
        <f t="shared" si="0"/>
        <v>46663.608348410176</v>
      </c>
    </row>
    <row r="16" spans="1:10" x14ac:dyDescent="0.3">
      <c r="A16" s="1">
        <v>2021</v>
      </c>
      <c r="B16" s="3" t="s">
        <v>57</v>
      </c>
      <c r="C16" s="1" t="s">
        <v>47</v>
      </c>
      <c r="D16" s="1" t="s">
        <v>79</v>
      </c>
      <c r="E16" s="1" t="s">
        <v>27</v>
      </c>
      <c r="F16" s="1" t="s">
        <v>22</v>
      </c>
      <c r="G16" s="1" t="s">
        <v>9</v>
      </c>
      <c r="H16" s="2">
        <v>65.216495083721796</v>
      </c>
      <c r="I16" s="2">
        <v>795.37990580122403</v>
      </c>
      <c r="J16" s="2">
        <f t="shared" si="0"/>
        <v>51871.889716376631</v>
      </c>
    </row>
    <row r="17" spans="1:10" x14ac:dyDescent="0.3">
      <c r="A17" s="1">
        <v>2021</v>
      </c>
      <c r="B17" s="3" t="s">
        <v>57</v>
      </c>
      <c r="C17" s="1" t="s">
        <v>41</v>
      </c>
      <c r="D17" s="1" t="s">
        <v>80</v>
      </c>
      <c r="E17" s="1" t="s">
        <v>28</v>
      </c>
      <c r="F17" s="1" t="s">
        <v>17</v>
      </c>
      <c r="G17" s="1" t="s">
        <v>9</v>
      </c>
      <c r="H17" s="2" t="s">
        <v>49</v>
      </c>
      <c r="I17" s="2">
        <v>820</v>
      </c>
      <c r="J17" s="2">
        <f t="shared" si="0"/>
        <v>820</v>
      </c>
    </row>
    <row r="18" spans="1:10" x14ac:dyDescent="0.3">
      <c r="A18" s="1">
        <v>2021</v>
      </c>
      <c r="B18" s="3" t="s">
        <v>56</v>
      </c>
      <c r="C18" s="1" t="s">
        <v>43</v>
      </c>
      <c r="D18" s="1" t="s">
        <v>67</v>
      </c>
      <c r="E18" s="1" t="s">
        <v>29</v>
      </c>
      <c r="F18" s="1" t="s">
        <v>30</v>
      </c>
      <c r="G18" s="1" t="s">
        <v>12</v>
      </c>
      <c r="H18" s="2">
        <v>28</v>
      </c>
      <c r="I18" s="2">
        <v>800</v>
      </c>
      <c r="J18" s="2">
        <f t="shared" si="0"/>
        <v>22400</v>
      </c>
    </row>
    <row r="19" spans="1:10" x14ac:dyDescent="0.3">
      <c r="A19" s="1">
        <v>2021</v>
      </c>
      <c r="B19" s="3" t="s">
        <v>56</v>
      </c>
      <c r="C19" s="1" t="s">
        <v>44</v>
      </c>
      <c r="D19" s="1" t="s">
        <v>81</v>
      </c>
      <c r="E19" s="1" t="s">
        <v>19</v>
      </c>
      <c r="F19" s="1" t="s">
        <v>14</v>
      </c>
      <c r="G19" s="1" t="s">
        <v>12</v>
      </c>
      <c r="H19" s="2">
        <v>77</v>
      </c>
      <c r="I19" s="2">
        <v>800</v>
      </c>
      <c r="J19" s="2">
        <f t="shared" si="0"/>
        <v>61600</v>
      </c>
    </row>
    <row r="20" spans="1:10" x14ac:dyDescent="0.3">
      <c r="A20" s="1">
        <v>2021</v>
      </c>
      <c r="B20" s="3" t="s">
        <v>56</v>
      </c>
      <c r="C20" s="1" t="s">
        <v>44</v>
      </c>
      <c r="D20" s="1" t="s">
        <v>81</v>
      </c>
      <c r="E20" s="1" t="s">
        <v>26</v>
      </c>
      <c r="F20" s="1" t="s">
        <v>14</v>
      </c>
      <c r="G20" s="1" t="s">
        <v>9</v>
      </c>
      <c r="H20" s="2">
        <v>142</v>
      </c>
      <c r="I20" s="2">
        <v>820</v>
      </c>
      <c r="J20" s="2">
        <f t="shared" si="0"/>
        <v>116440</v>
      </c>
    </row>
    <row r="21" spans="1:10" x14ac:dyDescent="0.3">
      <c r="A21" s="1">
        <v>2021</v>
      </c>
      <c r="B21" s="3" t="s">
        <v>56</v>
      </c>
      <c r="C21" s="1" t="s">
        <v>44</v>
      </c>
      <c r="D21" s="1" t="s">
        <v>81</v>
      </c>
      <c r="E21" s="1" t="s">
        <v>13</v>
      </c>
      <c r="F21" s="1" t="s">
        <v>14</v>
      </c>
      <c r="G21" s="1" t="s">
        <v>12</v>
      </c>
      <c r="H21" s="2" t="s">
        <v>50</v>
      </c>
      <c r="I21" s="2">
        <v>800</v>
      </c>
      <c r="J21" s="2">
        <f t="shared" si="0"/>
        <v>12800</v>
      </c>
    </row>
    <row r="22" spans="1:10" x14ac:dyDescent="0.3">
      <c r="A22" s="1">
        <v>2021</v>
      </c>
      <c r="B22" s="3" t="s">
        <v>56</v>
      </c>
      <c r="C22" s="1" t="s">
        <v>45</v>
      </c>
      <c r="D22" s="1" t="s">
        <v>68</v>
      </c>
      <c r="E22" s="1" t="s">
        <v>19</v>
      </c>
      <c r="F22" s="1" t="s">
        <v>17</v>
      </c>
      <c r="G22" s="1" t="s">
        <v>12</v>
      </c>
      <c r="H22" s="2">
        <v>62.007650057277601</v>
      </c>
      <c r="I22" s="2">
        <v>806.80503533266403</v>
      </c>
      <c r="J22" s="2">
        <f t="shared" si="0"/>
        <v>50028.084295357323</v>
      </c>
    </row>
    <row r="23" spans="1:10" x14ac:dyDescent="0.3">
      <c r="A23" s="1">
        <v>2021</v>
      </c>
      <c r="B23" s="3" t="s">
        <v>56</v>
      </c>
      <c r="C23" s="1" t="s">
        <v>47</v>
      </c>
      <c r="D23" s="1" t="s">
        <v>69</v>
      </c>
      <c r="E23" s="1" t="s">
        <v>20</v>
      </c>
      <c r="F23" s="1" t="s">
        <v>8</v>
      </c>
      <c r="G23" s="1" t="s">
        <v>15</v>
      </c>
      <c r="H23" s="2">
        <v>48</v>
      </c>
      <c r="I23" s="2">
        <v>650</v>
      </c>
      <c r="J23" s="2">
        <f t="shared" si="0"/>
        <v>31200</v>
      </c>
    </row>
    <row r="24" spans="1:10" x14ac:dyDescent="0.3">
      <c r="A24" s="1">
        <v>2021</v>
      </c>
      <c r="B24" s="3" t="s">
        <v>56</v>
      </c>
      <c r="C24" s="1" t="s">
        <v>47</v>
      </c>
      <c r="D24" s="1" t="s">
        <v>69</v>
      </c>
      <c r="E24" s="1" t="s">
        <v>25</v>
      </c>
      <c r="F24" s="1" t="s">
        <v>8</v>
      </c>
      <c r="G24" s="1" t="s">
        <v>12</v>
      </c>
      <c r="H24" s="2">
        <v>62.707033716887302</v>
      </c>
      <c r="I24" s="2">
        <v>804.31494300306804</v>
      </c>
      <c r="J24" s="2">
        <f t="shared" si="0"/>
        <v>50436.204249889677</v>
      </c>
    </row>
    <row r="25" spans="1:10" x14ac:dyDescent="0.3">
      <c r="A25" s="1">
        <v>2021</v>
      </c>
      <c r="B25" s="3" t="s">
        <v>56</v>
      </c>
      <c r="C25" s="1" t="s">
        <v>47</v>
      </c>
      <c r="D25" s="1" t="s">
        <v>69</v>
      </c>
      <c r="E25" s="1" t="s">
        <v>10</v>
      </c>
      <c r="F25" s="1" t="s">
        <v>11</v>
      </c>
      <c r="G25" s="1" t="s">
        <v>31</v>
      </c>
      <c r="H25" s="2">
        <v>12</v>
      </c>
      <c r="I25" s="2">
        <v>450</v>
      </c>
      <c r="J25" s="2">
        <f t="shared" si="0"/>
        <v>5400</v>
      </c>
    </row>
    <row r="26" spans="1:10" x14ac:dyDescent="0.3">
      <c r="A26" s="1">
        <v>2021</v>
      </c>
      <c r="B26" s="3" t="s">
        <v>56</v>
      </c>
      <c r="C26" s="1" t="s">
        <v>41</v>
      </c>
      <c r="D26" s="1" t="s">
        <v>82</v>
      </c>
      <c r="E26" s="1" t="s">
        <v>20</v>
      </c>
      <c r="F26" s="1" t="s">
        <v>17</v>
      </c>
      <c r="G26" s="1" t="s">
        <v>9</v>
      </c>
      <c r="H26" s="2">
        <v>68.384202171365501</v>
      </c>
      <c r="I26" s="2">
        <v>784.10325230929004</v>
      </c>
      <c r="J26" s="2">
        <f t="shared" si="0"/>
        <v>53620.275329143704</v>
      </c>
    </row>
    <row r="27" spans="1:10" x14ac:dyDescent="0.3">
      <c r="A27" s="1">
        <v>2021</v>
      </c>
      <c r="B27" s="3" t="s">
        <v>56</v>
      </c>
      <c r="C27" s="1" t="s">
        <v>42</v>
      </c>
      <c r="D27" s="1" t="s">
        <v>83</v>
      </c>
      <c r="E27" s="1" t="s">
        <v>18</v>
      </c>
      <c r="F27" s="1" t="s">
        <v>17</v>
      </c>
      <c r="G27" s="1" t="s">
        <v>15</v>
      </c>
      <c r="H27" s="2">
        <v>14</v>
      </c>
      <c r="I27" s="2">
        <v>650</v>
      </c>
      <c r="J27" s="2">
        <f t="shared" si="0"/>
        <v>9100</v>
      </c>
    </row>
    <row r="28" spans="1:10" x14ac:dyDescent="0.3">
      <c r="A28" s="1">
        <v>2021</v>
      </c>
      <c r="B28" s="3" t="s">
        <v>56</v>
      </c>
      <c r="C28" s="1" t="s">
        <v>42</v>
      </c>
      <c r="D28" s="1" t="s">
        <v>83</v>
      </c>
      <c r="E28" s="1" t="s">
        <v>18</v>
      </c>
      <c r="F28" s="1" t="s">
        <v>22</v>
      </c>
      <c r="G28" s="1" t="s">
        <v>9</v>
      </c>
      <c r="H28" s="2">
        <v>149</v>
      </c>
      <c r="I28" s="2">
        <v>950</v>
      </c>
      <c r="J28" s="2">
        <f t="shared" si="0"/>
        <v>141550</v>
      </c>
    </row>
    <row r="29" spans="1:10" x14ac:dyDescent="0.3">
      <c r="A29" s="1">
        <v>2021</v>
      </c>
      <c r="B29" s="3" t="s">
        <v>56</v>
      </c>
      <c r="C29" s="1" t="s">
        <v>43</v>
      </c>
      <c r="D29" s="1" t="s">
        <v>84</v>
      </c>
      <c r="E29" s="1" t="s">
        <v>25</v>
      </c>
      <c r="F29" s="1" t="s">
        <v>30</v>
      </c>
      <c r="G29" s="1" t="s">
        <v>31</v>
      </c>
      <c r="H29" s="2">
        <v>64.928521812017905</v>
      </c>
      <c r="I29" s="2">
        <v>796.40523794776402</v>
      </c>
      <c r="J29" s="2">
        <f t="shared" si="0"/>
        <v>51709.414863296704</v>
      </c>
    </row>
    <row r="30" spans="1:10" x14ac:dyDescent="0.3">
      <c r="A30" s="1">
        <v>2021</v>
      </c>
      <c r="B30" s="3" t="s">
        <v>56</v>
      </c>
      <c r="C30" s="1" t="s">
        <v>46</v>
      </c>
      <c r="D30" s="1" t="s">
        <v>85</v>
      </c>
      <c r="E30" s="1" t="s">
        <v>32</v>
      </c>
      <c r="F30" s="1" t="s">
        <v>17</v>
      </c>
      <c r="G30" s="1" t="s">
        <v>9</v>
      </c>
      <c r="H30" s="2">
        <v>24</v>
      </c>
      <c r="I30" s="2">
        <v>950</v>
      </c>
      <c r="J30" s="2">
        <f t="shared" si="0"/>
        <v>22800</v>
      </c>
    </row>
    <row r="31" spans="1:10" x14ac:dyDescent="0.3">
      <c r="A31" s="1">
        <v>2021</v>
      </c>
      <c r="B31" s="3" t="s">
        <v>56</v>
      </c>
      <c r="C31" s="1" t="s">
        <v>46</v>
      </c>
      <c r="D31" s="1" t="s">
        <v>85</v>
      </c>
      <c r="E31" s="1" t="s">
        <v>13</v>
      </c>
      <c r="F31" s="1" t="s">
        <v>22</v>
      </c>
      <c r="G31" s="1" t="s">
        <v>9</v>
      </c>
      <c r="H31" s="2">
        <v>4</v>
      </c>
      <c r="I31" s="2">
        <v>950</v>
      </c>
      <c r="J31" s="2">
        <f t="shared" si="0"/>
        <v>3800</v>
      </c>
    </row>
    <row r="32" spans="1:10" x14ac:dyDescent="0.3">
      <c r="A32" s="1">
        <v>2021</v>
      </c>
      <c r="B32" s="3" t="s">
        <v>56</v>
      </c>
      <c r="C32" s="1" t="s">
        <v>47</v>
      </c>
      <c r="D32" s="1" t="s">
        <v>71</v>
      </c>
      <c r="E32" s="1" t="s">
        <v>25</v>
      </c>
      <c r="F32" s="1" t="s">
        <v>8</v>
      </c>
      <c r="G32" s="1" t="s">
        <v>9</v>
      </c>
      <c r="H32" s="2">
        <v>62.953847949690697</v>
      </c>
      <c r="I32" s="2">
        <v>803.43608688403401</v>
      </c>
      <c r="J32" s="2">
        <f t="shared" si="0"/>
        <v>50579.393250991961</v>
      </c>
    </row>
    <row r="33" spans="1:10" x14ac:dyDescent="0.3">
      <c r="A33" s="1">
        <v>2021</v>
      </c>
      <c r="B33" s="3" t="s">
        <v>56</v>
      </c>
      <c r="C33" s="1" t="s">
        <v>43</v>
      </c>
      <c r="D33" s="1" t="s">
        <v>73</v>
      </c>
      <c r="E33" s="1" t="s">
        <v>28</v>
      </c>
      <c r="F33" s="1" t="s">
        <v>30</v>
      </c>
      <c r="G33" s="1" t="s">
        <v>15</v>
      </c>
      <c r="H33" s="2">
        <v>42</v>
      </c>
      <c r="I33" s="2">
        <v>650</v>
      </c>
      <c r="J33" s="2">
        <f t="shared" si="0"/>
        <v>27300</v>
      </c>
    </row>
    <row r="34" spans="1:10" x14ac:dyDescent="0.3">
      <c r="A34" s="1">
        <v>2021</v>
      </c>
      <c r="B34" s="3" t="s">
        <v>56</v>
      </c>
      <c r="C34" s="1" t="s">
        <v>47</v>
      </c>
      <c r="D34" s="1" t="s">
        <v>75</v>
      </c>
      <c r="E34" s="1" t="s">
        <v>16</v>
      </c>
      <c r="F34" s="1" t="s">
        <v>22</v>
      </c>
      <c r="G34" s="1" t="s">
        <v>9</v>
      </c>
      <c r="H34" s="2">
        <v>24</v>
      </c>
      <c r="I34" s="2">
        <v>820</v>
      </c>
      <c r="J34" s="2">
        <f t="shared" si="0"/>
        <v>19680</v>
      </c>
    </row>
    <row r="35" spans="1:10" x14ac:dyDescent="0.3">
      <c r="A35" s="1">
        <v>2021</v>
      </c>
      <c r="B35" s="3" t="s">
        <v>56</v>
      </c>
      <c r="C35" s="1" t="s">
        <v>47</v>
      </c>
      <c r="D35" s="1" t="s">
        <v>75</v>
      </c>
      <c r="E35" s="1" t="s">
        <v>20</v>
      </c>
      <c r="F35" s="1" t="s">
        <v>8</v>
      </c>
      <c r="G35" s="1" t="s">
        <v>23</v>
      </c>
      <c r="H35" s="2">
        <v>70</v>
      </c>
      <c r="I35" s="2">
        <v>1200</v>
      </c>
      <c r="J35" s="2">
        <f t="shared" si="0"/>
        <v>84000</v>
      </c>
    </row>
    <row r="36" spans="1:10" x14ac:dyDescent="0.3">
      <c r="A36" s="1">
        <v>2021</v>
      </c>
      <c r="B36" s="3" t="s">
        <v>56</v>
      </c>
      <c r="C36" s="1" t="s">
        <v>44</v>
      </c>
      <c r="D36" s="1" t="s">
        <v>78</v>
      </c>
      <c r="E36" s="1" t="s">
        <v>16</v>
      </c>
      <c r="F36" s="1" t="s">
        <v>30</v>
      </c>
      <c r="G36" s="1" t="s">
        <v>15</v>
      </c>
      <c r="H36" s="2">
        <v>65.586746432926901</v>
      </c>
      <c r="I36" s="2">
        <v>794.06162163567296</v>
      </c>
      <c r="J36" s="2">
        <f t="shared" si="0"/>
        <v>52079.918230337622</v>
      </c>
    </row>
    <row r="37" spans="1:10" x14ac:dyDescent="0.3">
      <c r="A37" s="1">
        <v>2021</v>
      </c>
      <c r="B37" s="3" t="s">
        <v>56</v>
      </c>
      <c r="C37" s="1" t="s">
        <v>47</v>
      </c>
      <c r="D37" s="1" t="s">
        <v>79</v>
      </c>
      <c r="E37" s="1" t="s">
        <v>33</v>
      </c>
      <c r="F37" s="1" t="s">
        <v>30</v>
      </c>
      <c r="G37" s="1" t="s">
        <v>9</v>
      </c>
      <c r="H37" s="2">
        <v>22</v>
      </c>
      <c r="I37" s="2">
        <v>950</v>
      </c>
      <c r="J37" s="2">
        <f t="shared" si="0"/>
        <v>20900</v>
      </c>
    </row>
    <row r="38" spans="1:10" x14ac:dyDescent="0.3">
      <c r="A38" s="1">
        <v>2021</v>
      </c>
      <c r="B38" s="3" t="s">
        <v>57</v>
      </c>
      <c r="C38" s="1" t="s">
        <v>43</v>
      </c>
      <c r="D38" s="1" t="s">
        <v>67</v>
      </c>
      <c r="E38" s="1" t="s">
        <v>10</v>
      </c>
      <c r="F38" s="1" t="s">
        <v>17</v>
      </c>
      <c r="G38" s="1" t="s">
        <v>31</v>
      </c>
      <c r="H38" s="2">
        <v>1</v>
      </c>
      <c r="I38" s="2">
        <v>450</v>
      </c>
      <c r="J38" s="2">
        <f t="shared" si="0"/>
        <v>450</v>
      </c>
    </row>
    <row r="39" spans="1:10" x14ac:dyDescent="0.3">
      <c r="A39" s="1">
        <v>2021</v>
      </c>
      <c r="B39" s="3" t="s">
        <v>57</v>
      </c>
      <c r="C39" s="1" t="s">
        <v>43</v>
      </c>
      <c r="D39" s="1" t="s">
        <v>67</v>
      </c>
      <c r="E39" s="1" t="s">
        <v>32</v>
      </c>
      <c r="F39" s="1" t="s">
        <v>11</v>
      </c>
      <c r="G39" s="1" t="s">
        <v>9</v>
      </c>
      <c r="H39" s="2">
        <v>9</v>
      </c>
      <c r="I39" s="2">
        <v>950</v>
      </c>
      <c r="J39" s="2">
        <f t="shared" si="0"/>
        <v>8550</v>
      </c>
    </row>
    <row r="40" spans="1:10" x14ac:dyDescent="0.3">
      <c r="A40" s="1">
        <v>2021</v>
      </c>
      <c r="B40" s="3" t="s">
        <v>57</v>
      </c>
      <c r="C40" s="1" t="s">
        <v>43</v>
      </c>
      <c r="D40" s="1" t="s">
        <v>67</v>
      </c>
      <c r="E40" s="1" t="s">
        <v>34</v>
      </c>
      <c r="F40" s="1" t="s">
        <v>22</v>
      </c>
      <c r="G40" s="1" t="s">
        <v>31</v>
      </c>
      <c r="H40" s="2">
        <v>5</v>
      </c>
      <c r="I40" s="2">
        <v>450</v>
      </c>
      <c r="J40" s="2">
        <f t="shared" si="0"/>
        <v>2250</v>
      </c>
    </row>
    <row r="41" spans="1:10" x14ac:dyDescent="0.3">
      <c r="A41" s="1">
        <v>2021</v>
      </c>
      <c r="B41" s="3" t="s">
        <v>57</v>
      </c>
      <c r="C41" s="1" t="s">
        <v>43</v>
      </c>
      <c r="D41" s="1" t="s">
        <v>67</v>
      </c>
      <c r="E41" s="1" t="s">
        <v>24</v>
      </c>
      <c r="F41" s="1" t="s">
        <v>11</v>
      </c>
      <c r="G41" s="1" t="s">
        <v>15</v>
      </c>
      <c r="H41" s="2">
        <v>40</v>
      </c>
      <c r="I41" s="2">
        <v>650</v>
      </c>
      <c r="J41" s="2">
        <f t="shared" si="0"/>
        <v>26000</v>
      </c>
    </row>
    <row r="42" spans="1:10" x14ac:dyDescent="0.3">
      <c r="A42" s="1">
        <v>2021</v>
      </c>
      <c r="B42" s="3" t="s">
        <v>57</v>
      </c>
      <c r="C42" s="1" t="s">
        <v>44</v>
      </c>
      <c r="D42" s="1" t="s">
        <v>81</v>
      </c>
      <c r="E42" s="1" t="s">
        <v>20</v>
      </c>
      <c r="F42" s="1" t="s">
        <v>11</v>
      </c>
      <c r="G42" s="1" t="s">
        <v>12</v>
      </c>
      <c r="H42" s="2">
        <v>57</v>
      </c>
      <c r="I42" s="2">
        <v>800</v>
      </c>
      <c r="J42" s="2">
        <f t="shared" si="0"/>
        <v>45600</v>
      </c>
    </row>
    <row r="43" spans="1:10" x14ac:dyDescent="0.3">
      <c r="A43" s="1">
        <v>2021</v>
      </c>
      <c r="B43" s="3" t="s">
        <v>57</v>
      </c>
      <c r="C43" s="1" t="s">
        <v>47</v>
      </c>
      <c r="D43" s="1" t="s">
        <v>69</v>
      </c>
      <c r="E43" s="1" t="s">
        <v>20</v>
      </c>
      <c r="F43" s="1" t="s">
        <v>17</v>
      </c>
      <c r="G43" s="1" t="s">
        <v>9</v>
      </c>
      <c r="H43" s="2">
        <v>6</v>
      </c>
      <c r="I43" s="2">
        <v>820</v>
      </c>
      <c r="J43" s="2">
        <f t="shared" si="0"/>
        <v>4920</v>
      </c>
    </row>
    <row r="44" spans="1:10" x14ac:dyDescent="0.3">
      <c r="A44" s="1">
        <v>2021</v>
      </c>
      <c r="B44" s="3" t="s">
        <v>57</v>
      </c>
      <c r="C44" s="1" t="s">
        <v>47</v>
      </c>
      <c r="D44" s="1" t="s">
        <v>69</v>
      </c>
      <c r="E44" s="1" t="s">
        <v>35</v>
      </c>
      <c r="F44" s="1" t="s">
        <v>8</v>
      </c>
      <c r="G44" s="1" t="s">
        <v>12</v>
      </c>
      <c r="H44" s="2">
        <v>12</v>
      </c>
      <c r="I44" s="2">
        <v>800</v>
      </c>
      <c r="J44" s="2">
        <f t="shared" si="0"/>
        <v>9600</v>
      </c>
    </row>
    <row r="45" spans="1:10" x14ac:dyDescent="0.3">
      <c r="A45" s="1">
        <v>2021</v>
      </c>
      <c r="B45" s="3" t="s">
        <v>57</v>
      </c>
      <c r="C45" s="1" t="s">
        <v>41</v>
      </c>
      <c r="D45" s="1" t="s">
        <v>82</v>
      </c>
      <c r="E45" s="1" t="s">
        <v>16</v>
      </c>
      <c r="F45" s="1" t="s">
        <v>22</v>
      </c>
      <c r="G45" s="1" t="s">
        <v>9</v>
      </c>
      <c r="H45" s="2">
        <v>67.273447023750194</v>
      </c>
      <c r="I45" s="2">
        <v>788.05610483594205</v>
      </c>
      <c r="J45" s="2">
        <f t="shared" si="0"/>
        <v>53015.250620423678</v>
      </c>
    </row>
    <row r="46" spans="1:10" x14ac:dyDescent="0.3">
      <c r="A46" s="1">
        <v>2021</v>
      </c>
      <c r="B46" s="3" t="s">
        <v>57</v>
      </c>
      <c r="C46" s="1" t="s">
        <v>43</v>
      </c>
      <c r="D46" s="1" t="s">
        <v>84</v>
      </c>
      <c r="E46" s="1" t="s">
        <v>10</v>
      </c>
      <c r="F46" s="1" t="s">
        <v>17</v>
      </c>
      <c r="G46" s="1" t="s">
        <v>31</v>
      </c>
      <c r="H46" s="2">
        <v>39</v>
      </c>
      <c r="I46" s="2">
        <v>450</v>
      </c>
      <c r="J46" s="2">
        <f t="shared" si="0"/>
        <v>17550</v>
      </c>
    </row>
    <row r="47" spans="1:10" x14ac:dyDescent="0.3">
      <c r="A47" s="1">
        <v>2021</v>
      </c>
      <c r="B47" s="3" t="s">
        <v>57</v>
      </c>
      <c r="C47" s="1" t="s">
        <v>43</v>
      </c>
      <c r="D47" s="1" t="s">
        <v>84</v>
      </c>
      <c r="E47" s="1" t="s">
        <v>32</v>
      </c>
      <c r="F47" s="1" t="s">
        <v>8</v>
      </c>
      <c r="G47" s="1" t="s">
        <v>9</v>
      </c>
      <c r="H47" s="2">
        <v>9</v>
      </c>
      <c r="I47" s="2">
        <v>820</v>
      </c>
      <c r="J47" s="2">
        <f t="shared" si="0"/>
        <v>7380</v>
      </c>
    </row>
    <row r="48" spans="1:10" x14ac:dyDescent="0.3">
      <c r="A48" s="1">
        <v>2021</v>
      </c>
      <c r="B48" s="3" t="s">
        <v>57</v>
      </c>
      <c r="C48" s="1" t="s">
        <v>41</v>
      </c>
      <c r="D48" s="1" t="s">
        <v>49</v>
      </c>
      <c r="E48" s="1" t="s">
        <v>24</v>
      </c>
      <c r="F48" s="1" t="s">
        <v>17</v>
      </c>
      <c r="G48" s="1" t="s">
        <v>23</v>
      </c>
      <c r="H48" s="2">
        <v>33</v>
      </c>
      <c r="I48" s="2">
        <v>1200</v>
      </c>
      <c r="J48" s="2">
        <f t="shared" si="0"/>
        <v>39600</v>
      </c>
    </row>
    <row r="49" spans="1:10" x14ac:dyDescent="0.3">
      <c r="A49" s="1">
        <v>2021</v>
      </c>
      <c r="B49" s="3" t="s">
        <v>57</v>
      </c>
      <c r="C49" s="1" t="s">
        <v>42</v>
      </c>
      <c r="D49" s="1" t="s">
        <v>72</v>
      </c>
      <c r="E49" s="1" t="s">
        <v>20</v>
      </c>
      <c r="F49" s="1" t="s">
        <v>22</v>
      </c>
      <c r="G49" s="1" t="s">
        <v>12</v>
      </c>
      <c r="H49" s="2" t="s">
        <v>51</v>
      </c>
      <c r="I49" s="2">
        <v>800</v>
      </c>
      <c r="J49" s="2">
        <f t="shared" si="0"/>
        <v>9600</v>
      </c>
    </row>
    <row r="50" spans="1:10" x14ac:dyDescent="0.3">
      <c r="A50" s="1">
        <v>2021</v>
      </c>
      <c r="B50" s="3" t="s">
        <v>57</v>
      </c>
      <c r="C50" s="1" t="s">
        <v>42</v>
      </c>
      <c r="D50" s="1" t="s">
        <v>72</v>
      </c>
      <c r="E50" s="1" t="s">
        <v>20</v>
      </c>
      <c r="F50" s="1" t="s">
        <v>8</v>
      </c>
      <c r="G50" s="1" t="s">
        <v>9</v>
      </c>
      <c r="H50" s="2">
        <v>57.893746177220997</v>
      </c>
      <c r="I50" s="2">
        <v>821.452637283228</v>
      </c>
      <c r="J50" s="2">
        <f t="shared" si="0"/>
        <v>47556.970479483985</v>
      </c>
    </row>
    <row r="51" spans="1:10" x14ac:dyDescent="0.3">
      <c r="A51" s="1">
        <v>2021</v>
      </c>
      <c r="B51" s="3" t="s">
        <v>57</v>
      </c>
      <c r="C51" s="1" t="s">
        <v>43</v>
      </c>
      <c r="D51" s="1" t="s">
        <v>73</v>
      </c>
      <c r="E51" s="1" t="s">
        <v>7</v>
      </c>
      <c r="F51" s="1" t="s">
        <v>11</v>
      </c>
      <c r="G51" s="1" t="s">
        <v>23</v>
      </c>
      <c r="H51" s="2">
        <v>14</v>
      </c>
      <c r="I51" s="2">
        <v>1200</v>
      </c>
      <c r="J51" s="2">
        <f t="shared" si="0"/>
        <v>16800</v>
      </c>
    </row>
    <row r="52" spans="1:10" x14ac:dyDescent="0.3">
      <c r="A52" s="1">
        <v>2021</v>
      </c>
      <c r="B52" s="3" t="s">
        <v>57</v>
      </c>
      <c r="C52" s="1" t="s">
        <v>44</v>
      </c>
      <c r="D52" s="1" t="s">
        <v>74</v>
      </c>
      <c r="E52" s="1" t="s">
        <v>16</v>
      </c>
      <c r="F52" s="1" t="s">
        <v>30</v>
      </c>
      <c r="G52" s="1" t="s">
        <v>12</v>
      </c>
      <c r="H52" s="2">
        <v>67.643698372955299</v>
      </c>
      <c r="I52" s="2">
        <v>786.73782066039098</v>
      </c>
      <c r="J52" s="2">
        <f t="shared" si="0"/>
        <v>53217.855839347685</v>
      </c>
    </row>
    <row r="53" spans="1:10" x14ac:dyDescent="0.3">
      <c r="A53" s="1">
        <v>2021</v>
      </c>
      <c r="B53" s="3" t="s">
        <v>57</v>
      </c>
      <c r="C53" s="1" t="s">
        <v>44</v>
      </c>
      <c r="D53" s="1" t="s">
        <v>74</v>
      </c>
      <c r="E53" s="1" t="s">
        <v>35</v>
      </c>
      <c r="F53" s="1" t="s">
        <v>17</v>
      </c>
      <c r="G53" s="1" t="s">
        <v>9</v>
      </c>
      <c r="H53" s="2">
        <v>4</v>
      </c>
      <c r="I53" s="2">
        <v>820</v>
      </c>
      <c r="J53" s="2">
        <f t="shared" si="0"/>
        <v>3280</v>
      </c>
    </row>
    <row r="54" spans="1:10" x14ac:dyDescent="0.3">
      <c r="A54" s="1">
        <v>2021</v>
      </c>
      <c r="B54" s="3" t="s">
        <v>57</v>
      </c>
      <c r="C54" s="1" t="s">
        <v>45</v>
      </c>
      <c r="D54" s="1" t="s">
        <v>86</v>
      </c>
      <c r="E54" s="1" t="s">
        <v>20</v>
      </c>
      <c r="F54" s="1" t="s">
        <v>14</v>
      </c>
      <c r="G54" s="1" t="s">
        <v>12</v>
      </c>
      <c r="H54" s="2">
        <v>58.881083108434602</v>
      </c>
      <c r="I54" s="2">
        <v>817.93721281509295</v>
      </c>
      <c r="J54" s="2">
        <f t="shared" si="0"/>
        <v>48161.029005246848</v>
      </c>
    </row>
    <row r="55" spans="1:10" x14ac:dyDescent="0.3">
      <c r="A55" s="1">
        <v>2021</v>
      </c>
      <c r="B55" s="3" t="s">
        <v>57</v>
      </c>
      <c r="C55" s="1" t="s">
        <v>46</v>
      </c>
      <c r="D55" s="1" t="s">
        <v>87</v>
      </c>
      <c r="E55" s="1" t="s">
        <v>36</v>
      </c>
      <c r="F55" s="1" t="s">
        <v>17</v>
      </c>
      <c r="G55" s="1" t="s">
        <v>9</v>
      </c>
      <c r="H55" s="2">
        <v>22</v>
      </c>
      <c r="I55" s="2">
        <v>950</v>
      </c>
      <c r="J55" s="2">
        <f t="shared" si="0"/>
        <v>20900</v>
      </c>
    </row>
    <row r="56" spans="1:10" x14ac:dyDescent="0.3">
      <c r="A56" s="1">
        <v>2021</v>
      </c>
      <c r="B56" s="3" t="s">
        <v>57</v>
      </c>
      <c r="C56" s="1" t="s">
        <v>46</v>
      </c>
      <c r="D56" s="1" t="s">
        <v>87</v>
      </c>
      <c r="E56" s="1" t="s">
        <v>36</v>
      </c>
      <c r="F56" s="1" t="s">
        <v>11</v>
      </c>
      <c r="G56" s="1" t="s">
        <v>9</v>
      </c>
      <c r="H56" s="2">
        <v>15</v>
      </c>
      <c r="I56" s="2">
        <v>820</v>
      </c>
      <c r="J56" s="2">
        <f t="shared" si="0"/>
        <v>12300</v>
      </c>
    </row>
    <row r="57" spans="1:10" x14ac:dyDescent="0.3">
      <c r="A57" s="1">
        <v>2021</v>
      </c>
      <c r="B57" s="3" t="s">
        <v>57</v>
      </c>
      <c r="C57" s="1" t="s">
        <v>47</v>
      </c>
      <c r="D57" s="1" t="s">
        <v>75</v>
      </c>
      <c r="E57" s="1" t="s">
        <v>25</v>
      </c>
      <c r="F57" s="1" t="s">
        <v>8</v>
      </c>
      <c r="G57" s="1" t="s">
        <v>23</v>
      </c>
      <c r="H57" s="2">
        <v>17</v>
      </c>
      <c r="I57" s="2">
        <v>1200</v>
      </c>
      <c r="J57" s="2">
        <f t="shared" si="0"/>
        <v>20400</v>
      </c>
    </row>
    <row r="58" spans="1:10" x14ac:dyDescent="0.3">
      <c r="A58" s="1">
        <v>2021</v>
      </c>
      <c r="B58" s="3" t="s">
        <v>57</v>
      </c>
      <c r="C58" s="1" t="s">
        <v>47</v>
      </c>
      <c r="D58" s="1" t="s">
        <v>75</v>
      </c>
      <c r="E58" s="1" t="s">
        <v>20</v>
      </c>
      <c r="F58" s="1" t="s">
        <v>14</v>
      </c>
      <c r="G58" s="1" t="s">
        <v>12</v>
      </c>
      <c r="H58" s="2">
        <v>68.507618187767207</v>
      </c>
      <c r="I58" s="2">
        <v>783.66182425077295</v>
      </c>
      <c r="J58" s="2">
        <f t="shared" si="0"/>
        <v>53686.805044101078</v>
      </c>
    </row>
    <row r="59" spans="1:10" x14ac:dyDescent="0.3">
      <c r="A59" s="1">
        <v>2021</v>
      </c>
      <c r="B59" s="3" t="s">
        <v>57</v>
      </c>
      <c r="C59" s="1" t="s">
        <v>47</v>
      </c>
      <c r="D59" s="1" t="s">
        <v>75</v>
      </c>
      <c r="E59" s="1" t="s">
        <v>13</v>
      </c>
      <c r="F59" s="1" t="s">
        <v>8</v>
      </c>
      <c r="G59" s="1" t="s">
        <v>23</v>
      </c>
      <c r="H59" s="2">
        <v>95</v>
      </c>
      <c r="I59" s="2">
        <v>1200</v>
      </c>
      <c r="J59" s="2">
        <f t="shared" si="0"/>
        <v>114000</v>
      </c>
    </row>
    <row r="60" spans="1:10" x14ac:dyDescent="0.3">
      <c r="A60" s="1">
        <v>2021</v>
      </c>
      <c r="B60" s="3" t="s">
        <v>57</v>
      </c>
      <c r="C60" s="1" t="s">
        <v>45</v>
      </c>
      <c r="D60" s="1" t="s">
        <v>88</v>
      </c>
      <c r="E60" s="1" t="s">
        <v>33</v>
      </c>
      <c r="F60" s="1" t="s">
        <v>8</v>
      </c>
      <c r="G60" s="1" t="s">
        <v>9</v>
      </c>
      <c r="H60" s="2">
        <v>1</v>
      </c>
      <c r="I60" s="2">
        <v>820</v>
      </c>
      <c r="J60" s="2">
        <f t="shared" si="0"/>
        <v>820</v>
      </c>
    </row>
    <row r="61" spans="1:10" x14ac:dyDescent="0.3">
      <c r="A61" s="1">
        <v>2021</v>
      </c>
      <c r="B61" s="3" t="s">
        <v>57</v>
      </c>
      <c r="C61" s="1" t="s">
        <v>46</v>
      </c>
      <c r="D61" s="1" t="s">
        <v>89</v>
      </c>
      <c r="E61" s="1" t="s">
        <v>7</v>
      </c>
      <c r="F61" s="1" t="s">
        <v>22</v>
      </c>
      <c r="G61" s="1" t="s">
        <v>23</v>
      </c>
      <c r="H61" s="2">
        <v>126</v>
      </c>
      <c r="I61" s="2">
        <v>1200</v>
      </c>
      <c r="J61" s="2">
        <f t="shared" si="0"/>
        <v>151200</v>
      </c>
    </row>
    <row r="62" spans="1:10" x14ac:dyDescent="0.3">
      <c r="A62" s="1">
        <v>2021</v>
      </c>
      <c r="B62" s="3" t="s">
        <v>57</v>
      </c>
      <c r="C62" s="1" t="s">
        <v>41</v>
      </c>
      <c r="D62" s="1" t="s">
        <v>80</v>
      </c>
      <c r="E62" s="1" t="s">
        <v>10</v>
      </c>
      <c r="F62" s="1" t="s">
        <v>30</v>
      </c>
      <c r="G62" s="1" t="s">
        <v>9</v>
      </c>
      <c r="H62" s="2">
        <v>24</v>
      </c>
      <c r="I62" s="2">
        <v>950</v>
      </c>
      <c r="J62" s="2">
        <f t="shared" si="0"/>
        <v>22800</v>
      </c>
    </row>
    <row r="63" spans="1:10" x14ac:dyDescent="0.3">
      <c r="A63" s="1">
        <v>2021</v>
      </c>
      <c r="B63" s="3" t="s">
        <v>57</v>
      </c>
      <c r="C63" s="1" t="s">
        <v>42</v>
      </c>
      <c r="D63" s="1" t="s">
        <v>90</v>
      </c>
      <c r="E63" s="1" t="s">
        <v>20</v>
      </c>
      <c r="F63" s="1" t="s">
        <v>14</v>
      </c>
      <c r="G63" s="1" t="s">
        <v>15</v>
      </c>
      <c r="H63" s="2">
        <v>57.7703290608193</v>
      </c>
      <c r="I63" s="2">
        <v>821.89206534174502</v>
      </c>
      <c r="J63" s="2">
        <f t="shared" si="0"/>
        <v>47480.975067269006</v>
      </c>
    </row>
    <row r="64" spans="1:10" x14ac:dyDescent="0.3">
      <c r="A64" s="1">
        <v>2021</v>
      </c>
      <c r="B64" s="3" t="s">
        <v>57</v>
      </c>
      <c r="C64" s="1" t="s">
        <v>42</v>
      </c>
      <c r="D64" s="1" t="s">
        <v>90</v>
      </c>
      <c r="E64" s="1" t="s">
        <v>32</v>
      </c>
      <c r="F64" s="1" t="s">
        <v>17</v>
      </c>
      <c r="G64" s="1" t="s">
        <v>12</v>
      </c>
      <c r="H64" s="2">
        <v>4</v>
      </c>
      <c r="I64" s="2">
        <v>800</v>
      </c>
      <c r="J64" s="2">
        <f t="shared" si="0"/>
        <v>3200</v>
      </c>
    </row>
    <row r="65" spans="1:10" x14ac:dyDescent="0.3">
      <c r="A65" s="1">
        <v>2021</v>
      </c>
      <c r="B65" s="3" t="s">
        <v>58</v>
      </c>
      <c r="C65" s="1" t="s">
        <v>46</v>
      </c>
      <c r="D65" s="1" t="s">
        <v>67</v>
      </c>
      <c r="E65" s="1" t="s">
        <v>19</v>
      </c>
      <c r="F65" s="1" t="s">
        <v>14</v>
      </c>
      <c r="G65" s="1" t="s">
        <v>9</v>
      </c>
      <c r="H65" s="2">
        <v>60.814617932061203</v>
      </c>
      <c r="I65" s="2">
        <v>801.05283989832799</v>
      </c>
      <c r="J65" s="2">
        <f t="shared" si="0"/>
        <v>48715.722401809413</v>
      </c>
    </row>
    <row r="66" spans="1:10" x14ac:dyDescent="0.3">
      <c r="A66" s="1">
        <v>2021</v>
      </c>
      <c r="B66" s="3" t="s">
        <v>58</v>
      </c>
      <c r="C66" s="1" t="s">
        <v>45</v>
      </c>
      <c r="D66" s="1" t="s">
        <v>91</v>
      </c>
      <c r="E66" s="1" t="s">
        <v>19</v>
      </c>
      <c r="F66" s="1" t="s">
        <v>30</v>
      </c>
      <c r="G66" s="1" t="s">
        <v>9</v>
      </c>
      <c r="H66" s="2">
        <v>30</v>
      </c>
      <c r="I66" s="2">
        <v>820</v>
      </c>
      <c r="J66" s="2">
        <f t="shared" ref="J66:J129" si="1">H66*I66</f>
        <v>24600</v>
      </c>
    </row>
    <row r="67" spans="1:10" x14ac:dyDescent="0.3">
      <c r="A67" s="1">
        <v>2021</v>
      </c>
      <c r="B67" s="3" t="s">
        <v>58</v>
      </c>
      <c r="C67" s="1" t="s">
        <v>45</v>
      </c>
      <c r="D67" s="1" t="s">
        <v>91</v>
      </c>
      <c r="E67" s="1" t="s">
        <v>10</v>
      </c>
      <c r="F67" s="1" t="s">
        <v>30</v>
      </c>
      <c r="G67" s="1" t="s">
        <v>9</v>
      </c>
      <c r="H67" s="2">
        <v>20</v>
      </c>
      <c r="I67" s="2">
        <v>820</v>
      </c>
      <c r="J67" s="2">
        <f t="shared" si="1"/>
        <v>16400</v>
      </c>
    </row>
    <row r="68" spans="1:10" x14ac:dyDescent="0.3">
      <c r="A68" s="1">
        <v>2021</v>
      </c>
      <c r="B68" s="3" t="s">
        <v>58</v>
      </c>
      <c r="C68" s="1" t="s">
        <v>46</v>
      </c>
      <c r="D68" s="1" t="s">
        <v>67</v>
      </c>
      <c r="E68" s="1" t="s">
        <v>24</v>
      </c>
      <c r="F68" s="1" t="s">
        <v>11</v>
      </c>
      <c r="G68" s="1" t="s">
        <v>12</v>
      </c>
      <c r="H68" s="2">
        <v>60</v>
      </c>
      <c r="I68" s="2">
        <v>800</v>
      </c>
      <c r="J68" s="2">
        <f t="shared" si="1"/>
        <v>48000</v>
      </c>
    </row>
    <row r="69" spans="1:10" x14ac:dyDescent="0.3">
      <c r="A69" s="1">
        <v>2021</v>
      </c>
      <c r="B69" s="3" t="s">
        <v>58</v>
      </c>
      <c r="C69" s="1" t="s">
        <v>47</v>
      </c>
      <c r="D69" s="1" t="s">
        <v>81</v>
      </c>
      <c r="E69" s="1" t="s">
        <v>20</v>
      </c>
      <c r="F69" s="1" t="s">
        <v>8</v>
      </c>
      <c r="G69" s="1" t="s">
        <v>15</v>
      </c>
      <c r="H69" s="2">
        <v>6</v>
      </c>
      <c r="I69" s="2">
        <v>650</v>
      </c>
      <c r="J69" s="2">
        <f t="shared" si="1"/>
        <v>3900</v>
      </c>
    </row>
    <row r="70" spans="1:10" x14ac:dyDescent="0.3">
      <c r="A70" s="1">
        <v>2021</v>
      </c>
      <c r="B70" s="3" t="s">
        <v>58</v>
      </c>
      <c r="C70" s="1" t="s">
        <v>47</v>
      </c>
      <c r="D70" s="1" t="s">
        <v>81</v>
      </c>
      <c r="E70" s="1" t="s">
        <v>29</v>
      </c>
      <c r="F70" s="1" t="s">
        <v>11</v>
      </c>
      <c r="G70" s="1" t="s">
        <v>9</v>
      </c>
      <c r="H70" s="2">
        <v>8</v>
      </c>
      <c r="I70" s="2">
        <v>950</v>
      </c>
      <c r="J70" s="2">
        <f t="shared" si="1"/>
        <v>7600</v>
      </c>
    </row>
    <row r="71" spans="1:10" x14ac:dyDescent="0.3">
      <c r="A71" s="1">
        <v>2021</v>
      </c>
      <c r="B71" s="3" t="s">
        <v>58</v>
      </c>
      <c r="C71" s="1" t="s">
        <v>41</v>
      </c>
      <c r="D71" s="1" t="s">
        <v>68</v>
      </c>
      <c r="E71" s="1" t="s">
        <v>16</v>
      </c>
      <c r="F71" s="1" t="s">
        <v>14</v>
      </c>
      <c r="G71" s="1" t="s">
        <v>15</v>
      </c>
      <c r="H71" s="2">
        <v>65.257634122522404</v>
      </c>
      <c r="I71" s="2">
        <v>795.233429791719</v>
      </c>
      <c r="J71" s="2">
        <f t="shared" si="1"/>
        <v>51895.052203346604</v>
      </c>
    </row>
    <row r="72" spans="1:10" x14ac:dyDescent="0.3">
      <c r="A72" s="1">
        <v>2021</v>
      </c>
      <c r="B72" s="3" t="s">
        <v>58</v>
      </c>
      <c r="C72" s="1" t="s">
        <v>41</v>
      </c>
      <c r="D72" s="1" t="s">
        <v>68</v>
      </c>
      <c r="E72" s="1" t="s">
        <v>20</v>
      </c>
      <c r="F72" s="1" t="s">
        <v>14</v>
      </c>
      <c r="G72" s="1" t="s">
        <v>15</v>
      </c>
      <c r="H72" s="2">
        <v>68.137366838562102</v>
      </c>
      <c r="I72" s="2">
        <v>784.98030842632397</v>
      </c>
      <c r="J72" s="2">
        <f t="shared" si="1"/>
        <v>53486.491236292059</v>
      </c>
    </row>
    <row r="73" spans="1:10" x14ac:dyDescent="0.3">
      <c r="A73" s="1">
        <v>2021</v>
      </c>
      <c r="B73" s="3" t="s">
        <v>58</v>
      </c>
      <c r="C73" s="1" t="s">
        <v>42</v>
      </c>
      <c r="D73" s="1" t="s">
        <v>92</v>
      </c>
      <c r="E73" s="1" t="s">
        <v>20</v>
      </c>
      <c r="F73" s="1" t="s">
        <v>11</v>
      </c>
      <c r="G73" s="1" t="s">
        <v>23</v>
      </c>
      <c r="H73" s="2">
        <v>67.890532605758693</v>
      </c>
      <c r="I73" s="2">
        <v>785.85896454335796</v>
      </c>
      <c r="J73" s="2">
        <f t="shared" si="1"/>
        <v>53352.383655858612</v>
      </c>
    </row>
    <row r="74" spans="1:10" x14ac:dyDescent="0.3">
      <c r="A74" s="1">
        <v>2021</v>
      </c>
      <c r="B74" s="3" t="s">
        <v>58</v>
      </c>
      <c r="C74" s="1" t="s">
        <v>42</v>
      </c>
      <c r="D74" s="1" t="s">
        <v>92</v>
      </c>
      <c r="E74" s="1" t="s">
        <v>24</v>
      </c>
      <c r="F74" s="1" t="s">
        <v>22</v>
      </c>
      <c r="G74" s="1" t="s">
        <v>9</v>
      </c>
      <c r="H74" s="2">
        <v>37</v>
      </c>
      <c r="I74" s="2">
        <v>820</v>
      </c>
      <c r="J74" s="2">
        <f t="shared" si="1"/>
        <v>30340</v>
      </c>
    </row>
    <row r="75" spans="1:10" x14ac:dyDescent="0.3">
      <c r="A75" s="1">
        <v>2021</v>
      </c>
      <c r="B75" s="3" t="s">
        <v>58</v>
      </c>
      <c r="C75" s="1" t="s">
        <v>44</v>
      </c>
      <c r="D75" s="1" t="s">
        <v>82</v>
      </c>
      <c r="E75" s="1" t="s">
        <v>7</v>
      </c>
      <c r="F75" s="1" t="s">
        <v>30</v>
      </c>
      <c r="G75" s="1" t="s">
        <v>9</v>
      </c>
      <c r="H75" s="2">
        <v>295</v>
      </c>
      <c r="I75" s="2">
        <v>820</v>
      </c>
      <c r="J75" s="2">
        <f t="shared" si="1"/>
        <v>241900</v>
      </c>
    </row>
    <row r="76" spans="1:10" x14ac:dyDescent="0.3">
      <c r="A76" s="1">
        <v>2021</v>
      </c>
      <c r="B76" s="3" t="s">
        <v>58</v>
      </c>
      <c r="C76" s="1" t="s">
        <v>45</v>
      </c>
      <c r="D76" s="1" t="s">
        <v>83</v>
      </c>
      <c r="E76" s="1" t="s">
        <v>10</v>
      </c>
      <c r="F76" s="1" t="s">
        <v>17</v>
      </c>
      <c r="G76" s="1" t="s">
        <v>12</v>
      </c>
      <c r="H76" s="2">
        <v>5</v>
      </c>
      <c r="I76" s="2">
        <v>800</v>
      </c>
      <c r="J76" s="2">
        <f t="shared" si="1"/>
        <v>4000</v>
      </c>
    </row>
    <row r="77" spans="1:10" x14ac:dyDescent="0.3">
      <c r="A77" s="1">
        <v>2021</v>
      </c>
      <c r="B77" s="3" t="s">
        <v>58</v>
      </c>
      <c r="C77" s="1" t="s">
        <v>41</v>
      </c>
      <c r="D77" s="1" t="s">
        <v>70</v>
      </c>
      <c r="E77" s="1" t="s">
        <v>19</v>
      </c>
      <c r="F77" s="1" t="s">
        <v>11</v>
      </c>
      <c r="G77" s="1" t="s">
        <v>15</v>
      </c>
      <c r="H77" s="2">
        <v>132</v>
      </c>
      <c r="I77" s="2">
        <v>650</v>
      </c>
      <c r="J77" s="2">
        <f t="shared" si="1"/>
        <v>85800</v>
      </c>
    </row>
    <row r="78" spans="1:10" x14ac:dyDescent="0.3">
      <c r="A78" s="1">
        <v>2021</v>
      </c>
      <c r="B78" s="3" t="s">
        <v>58</v>
      </c>
      <c r="C78" s="1" t="s">
        <v>43</v>
      </c>
      <c r="D78" s="1" t="s">
        <v>71</v>
      </c>
      <c r="E78" s="1" t="s">
        <v>20</v>
      </c>
      <c r="F78" s="1" t="s">
        <v>8</v>
      </c>
      <c r="G78" s="1" t="s">
        <v>15</v>
      </c>
      <c r="H78" s="2">
        <v>9</v>
      </c>
      <c r="I78" s="2">
        <v>650</v>
      </c>
      <c r="J78" s="2">
        <f t="shared" si="1"/>
        <v>5850</v>
      </c>
    </row>
    <row r="79" spans="1:10" x14ac:dyDescent="0.3">
      <c r="A79" s="1">
        <v>2021</v>
      </c>
      <c r="B79" s="3" t="s">
        <v>58</v>
      </c>
      <c r="C79" s="1" t="s">
        <v>43</v>
      </c>
      <c r="D79" s="1" t="s">
        <v>71</v>
      </c>
      <c r="E79" s="1" t="s">
        <v>35</v>
      </c>
      <c r="F79" s="1" t="s">
        <v>17</v>
      </c>
      <c r="G79" s="1" t="s">
        <v>9</v>
      </c>
      <c r="H79" s="2">
        <v>1</v>
      </c>
      <c r="I79" s="2">
        <v>820</v>
      </c>
      <c r="J79" s="2">
        <f t="shared" si="1"/>
        <v>820</v>
      </c>
    </row>
    <row r="80" spans="1:10" x14ac:dyDescent="0.3">
      <c r="A80" s="1">
        <v>2021</v>
      </c>
      <c r="B80" s="3" t="s">
        <v>58</v>
      </c>
      <c r="C80" s="1" t="s">
        <v>45</v>
      </c>
      <c r="D80" s="1" t="s">
        <v>72</v>
      </c>
      <c r="E80" s="1" t="s">
        <v>29</v>
      </c>
      <c r="F80" s="1" t="s">
        <v>8</v>
      </c>
      <c r="G80" s="1" t="s">
        <v>12</v>
      </c>
      <c r="H80" s="2">
        <v>31</v>
      </c>
      <c r="I80" s="2">
        <v>800</v>
      </c>
      <c r="J80" s="2">
        <f t="shared" si="1"/>
        <v>24800</v>
      </c>
    </row>
    <row r="81" spans="1:10" x14ac:dyDescent="0.3">
      <c r="A81" s="1">
        <v>2021</v>
      </c>
      <c r="B81" s="3" t="s">
        <v>58</v>
      </c>
      <c r="C81" s="1" t="s">
        <v>47</v>
      </c>
      <c r="D81" s="1" t="s">
        <v>74</v>
      </c>
      <c r="E81" s="1" t="s">
        <v>16</v>
      </c>
      <c r="F81" s="1" t="s">
        <v>30</v>
      </c>
      <c r="G81" s="1" t="s">
        <v>23</v>
      </c>
      <c r="H81" s="2">
        <v>56.865270207206798</v>
      </c>
      <c r="I81" s="2">
        <v>825.01453777086897</v>
      </c>
      <c r="J81" s="2">
        <f t="shared" si="1"/>
        <v>46914.67461521428</v>
      </c>
    </row>
    <row r="82" spans="1:10" x14ac:dyDescent="0.3">
      <c r="A82" s="1">
        <v>2021</v>
      </c>
      <c r="B82" s="3" t="s">
        <v>58</v>
      </c>
      <c r="C82" s="1" t="s">
        <v>47</v>
      </c>
      <c r="D82" s="1" t="s">
        <v>74</v>
      </c>
      <c r="E82" s="1" t="s">
        <v>13</v>
      </c>
      <c r="F82" s="1" t="s">
        <v>8</v>
      </c>
      <c r="G82" s="1" t="s">
        <v>12</v>
      </c>
      <c r="H82" s="2">
        <v>48</v>
      </c>
      <c r="I82" s="2">
        <v>800</v>
      </c>
      <c r="J82" s="2">
        <f t="shared" si="1"/>
        <v>38400</v>
      </c>
    </row>
    <row r="83" spans="1:10" x14ac:dyDescent="0.3">
      <c r="A83" s="1">
        <v>2021</v>
      </c>
      <c r="B83" s="3" t="s">
        <v>58</v>
      </c>
      <c r="C83" s="1" t="s">
        <v>41</v>
      </c>
      <c r="D83" s="1" t="s">
        <v>86</v>
      </c>
      <c r="E83" s="1" t="s">
        <v>7</v>
      </c>
      <c r="F83" s="1" t="s">
        <v>14</v>
      </c>
      <c r="G83" s="1" t="s">
        <v>9</v>
      </c>
      <c r="H83" s="2">
        <v>15</v>
      </c>
      <c r="I83" s="2">
        <v>820</v>
      </c>
      <c r="J83" s="2">
        <f t="shared" si="1"/>
        <v>12300</v>
      </c>
    </row>
    <row r="84" spans="1:10" x14ac:dyDescent="0.3">
      <c r="A84" s="1">
        <v>2021</v>
      </c>
      <c r="B84" s="3" t="s">
        <v>58</v>
      </c>
      <c r="C84" s="1" t="s">
        <v>42</v>
      </c>
      <c r="D84" s="1" t="s">
        <v>87</v>
      </c>
      <c r="E84" s="1" t="s">
        <v>37</v>
      </c>
      <c r="F84" s="1" t="s">
        <v>22</v>
      </c>
      <c r="G84" s="1" t="s">
        <v>12</v>
      </c>
      <c r="H84" s="2">
        <v>64</v>
      </c>
      <c r="I84" s="2">
        <v>800</v>
      </c>
      <c r="J84" s="2">
        <f t="shared" si="1"/>
        <v>51200</v>
      </c>
    </row>
    <row r="85" spans="1:10" x14ac:dyDescent="0.3">
      <c r="A85" s="1">
        <v>2021</v>
      </c>
      <c r="B85" s="3" t="s">
        <v>58</v>
      </c>
      <c r="C85" s="1" t="s">
        <v>43</v>
      </c>
      <c r="D85" s="1" t="s">
        <v>75</v>
      </c>
      <c r="E85" s="1" t="s">
        <v>37</v>
      </c>
      <c r="F85" s="1" t="s">
        <v>11</v>
      </c>
      <c r="G85" s="1" t="s">
        <v>23</v>
      </c>
      <c r="H85" s="2">
        <v>39</v>
      </c>
      <c r="I85" s="2">
        <v>1200</v>
      </c>
      <c r="J85" s="2">
        <f t="shared" si="1"/>
        <v>46800</v>
      </c>
    </row>
    <row r="86" spans="1:10" x14ac:dyDescent="0.3">
      <c r="A86" s="1">
        <v>2021</v>
      </c>
      <c r="B86" s="3" t="s">
        <v>58</v>
      </c>
      <c r="C86" s="1" t="s">
        <v>43</v>
      </c>
      <c r="D86" s="1" t="s">
        <v>75</v>
      </c>
      <c r="E86" s="1" t="s">
        <v>34</v>
      </c>
      <c r="F86" s="1" t="s">
        <v>11</v>
      </c>
      <c r="G86" s="1" t="s">
        <v>9</v>
      </c>
      <c r="H86" s="2">
        <v>25</v>
      </c>
      <c r="I86" s="2">
        <v>820</v>
      </c>
      <c r="J86" s="2">
        <f t="shared" si="1"/>
        <v>20500</v>
      </c>
    </row>
    <row r="87" spans="1:10" x14ac:dyDescent="0.3">
      <c r="A87" s="1">
        <v>2021</v>
      </c>
      <c r="B87" s="3" t="s">
        <v>58</v>
      </c>
      <c r="C87" s="1" t="s">
        <v>44</v>
      </c>
      <c r="D87" s="1" t="s">
        <v>76</v>
      </c>
      <c r="E87" s="1" t="s">
        <v>7</v>
      </c>
      <c r="F87" s="1" t="s">
        <v>14</v>
      </c>
      <c r="G87" s="1" t="s">
        <v>9</v>
      </c>
      <c r="H87" s="2">
        <v>36</v>
      </c>
      <c r="I87" s="2">
        <v>820</v>
      </c>
      <c r="J87" s="2">
        <f t="shared" si="1"/>
        <v>29520</v>
      </c>
    </row>
    <row r="88" spans="1:10" x14ac:dyDescent="0.3">
      <c r="A88" s="1">
        <v>2021</v>
      </c>
      <c r="B88" s="3" t="s">
        <v>58</v>
      </c>
      <c r="C88" s="1" t="s">
        <v>46</v>
      </c>
      <c r="D88" s="1" t="s">
        <v>77</v>
      </c>
      <c r="E88" s="1" t="s">
        <v>16</v>
      </c>
      <c r="F88" s="1" t="s">
        <v>30</v>
      </c>
      <c r="G88" s="1" t="s">
        <v>12</v>
      </c>
      <c r="H88" s="2">
        <v>66</v>
      </c>
      <c r="I88" s="2">
        <v>800</v>
      </c>
      <c r="J88" s="2">
        <f t="shared" si="1"/>
        <v>52800</v>
      </c>
    </row>
    <row r="89" spans="1:10" x14ac:dyDescent="0.3">
      <c r="A89" s="1">
        <v>2021</v>
      </c>
      <c r="B89" s="3" t="s">
        <v>58</v>
      </c>
      <c r="C89" s="1" t="s">
        <v>46</v>
      </c>
      <c r="D89" s="1" t="s">
        <v>77</v>
      </c>
      <c r="E89" s="1" t="s">
        <v>16</v>
      </c>
      <c r="F89" s="1" t="s">
        <v>30</v>
      </c>
      <c r="G89" s="1" t="s">
        <v>12</v>
      </c>
      <c r="H89" s="2">
        <v>56.330462702799402</v>
      </c>
      <c r="I89" s="2">
        <v>827.03872602444198</v>
      </c>
      <c r="J89" s="2">
        <f t="shared" si="1"/>
        <v>46587.474110090559</v>
      </c>
    </row>
    <row r="90" spans="1:10" x14ac:dyDescent="0.3">
      <c r="A90" s="1">
        <v>2021</v>
      </c>
      <c r="B90" s="3" t="s">
        <v>58</v>
      </c>
      <c r="C90" s="1" t="s">
        <v>47</v>
      </c>
      <c r="D90" s="1" t="s">
        <v>78</v>
      </c>
      <c r="E90" s="1" t="s">
        <v>25</v>
      </c>
      <c r="F90" s="1" t="s">
        <v>22</v>
      </c>
      <c r="G90" s="1" t="s">
        <v>31</v>
      </c>
      <c r="H90" s="2">
        <v>63.817767764502598</v>
      </c>
      <c r="I90" s="2">
        <v>800.36009047441598</v>
      </c>
      <c r="J90" s="2">
        <f t="shared" si="1"/>
        <v>51077.19438187257</v>
      </c>
    </row>
    <row r="91" spans="1:10" x14ac:dyDescent="0.3">
      <c r="A91" s="1">
        <v>2021</v>
      </c>
      <c r="B91" s="3" t="s">
        <v>58</v>
      </c>
      <c r="C91" s="1" t="s">
        <v>41</v>
      </c>
      <c r="D91" s="1" t="s">
        <v>88</v>
      </c>
      <c r="E91" s="1" t="s">
        <v>25</v>
      </c>
      <c r="F91" s="1" t="s">
        <v>14</v>
      </c>
      <c r="G91" s="1" t="s">
        <v>12</v>
      </c>
      <c r="H91" s="2">
        <v>64.722826618015006</v>
      </c>
      <c r="I91" s="2">
        <v>797.13761804529202</v>
      </c>
      <c r="J91" s="2">
        <f t="shared" si="1"/>
        <v>51592.999843442907</v>
      </c>
    </row>
    <row r="92" spans="1:10" x14ac:dyDescent="0.3">
      <c r="A92" s="1">
        <v>2021</v>
      </c>
      <c r="B92" s="3" t="s">
        <v>58</v>
      </c>
      <c r="C92" s="1" t="s">
        <v>41</v>
      </c>
      <c r="D92" s="1" t="s">
        <v>88</v>
      </c>
      <c r="E92" s="1" t="s">
        <v>26</v>
      </c>
      <c r="F92" s="1" t="s">
        <v>14</v>
      </c>
      <c r="G92" s="1" t="s">
        <v>23</v>
      </c>
      <c r="H92" s="2">
        <v>38</v>
      </c>
      <c r="I92" s="2">
        <v>1200</v>
      </c>
      <c r="J92" s="2">
        <f t="shared" si="1"/>
        <v>45600</v>
      </c>
    </row>
    <row r="93" spans="1:10" x14ac:dyDescent="0.3">
      <c r="A93" s="1">
        <v>2021</v>
      </c>
      <c r="B93" s="3" t="s">
        <v>58</v>
      </c>
      <c r="C93" s="1" t="s">
        <v>42</v>
      </c>
      <c r="D93" s="1" t="s">
        <v>89</v>
      </c>
      <c r="E93" s="1" t="s">
        <v>32</v>
      </c>
      <c r="F93" s="1" t="s">
        <v>22</v>
      </c>
      <c r="G93" s="1" t="s">
        <v>12</v>
      </c>
      <c r="H93" s="2">
        <v>30</v>
      </c>
      <c r="I93" s="2">
        <v>800</v>
      </c>
      <c r="J93" s="2">
        <f t="shared" si="1"/>
        <v>24000</v>
      </c>
    </row>
    <row r="94" spans="1:10" x14ac:dyDescent="0.3">
      <c r="A94" s="1">
        <v>2021</v>
      </c>
      <c r="B94" s="3" t="s">
        <v>58</v>
      </c>
      <c r="C94" s="1" t="s">
        <v>42</v>
      </c>
      <c r="D94" s="1" t="s">
        <v>89</v>
      </c>
      <c r="E94" s="1" t="s">
        <v>28</v>
      </c>
      <c r="F94" s="1" t="s">
        <v>22</v>
      </c>
      <c r="G94" s="1" t="s">
        <v>9</v>
      </c>
      <c r="H94" s="2">
        <v>17</v>
      </c>
      <c r="I94" s="2">
        <v>950</v>
      </c>
      <c r="J94" s="2">
        <f t="shared" si="1"/>
        <v>16150</v>
      </c>
    </row>
    <row r="95" spans="1:10" x14ac:dyDescent="0.3">
      <c r="A95" s="1">
        <v>2021</v>
      </c>
      <c r="B95" s="3" t="s">
        <v>58</v>
      </c>
      <c r="C95" s="1" t="s">
        <v>43</v>
      </c>
      <c r="D95" s="1" t="s">
        <v>79</v>
      </c>
      <c r="E95" s="1" t="s">
        <v>13</v>
      </c>
      <c r="F95" s="1" t="s">
        <v>8</v>
      </c>
      <c r="G95" s="1" t="s">
        <v>12</v>
      </c>
      <c r="H95" s="2">
        <v>9</v>
      </c>
      <c r="I95" s="2">
        <v>800</v>
      </c>
      <c r="J95" s="2">
        <f t="shared" si="1"/>
        <v>7200</v>
      </c>
    </row>
    <row r="96" spans="1:10" x14ac:dyDescent="0.3">
      <c r="A96" s="1">
        <v>2021</v>
      </c>
      <c r="B96" s="3" t="s">
        <v>58</v>
      </c>
      <c r="C96" s="1" t="s">
        <v>44</v>
      </c>
      <c r="D96" s="1" t="s">
        <v>80</v>
      </c>
      <c r="E96" s="1" t="s">
        <v>25</v>
      </c>
      <c r="F96" s="1" t="s">
        <v>17</v>
      </c>
      <c r="G96" s="1" t="s">
        <v>15</v>
      </c>
      <c r="H96" s="2">
        <v>7</v>
      </c>
      <c r="I96" s="2">
        <v>650</v>
      </c>
      <c r="J96" s="2">
        <f t="shared" si="1"/>
        <v>4550</v>
      </c>
    </row>
    <row r="97" spans="1:10" x14ac:dyDescent="0.3">
      <c r="A97" s="1">
        <v>2021</v>
      </c>
      <c r="B97" s="3" t="s">
        <v>59</v>
      </c>
      <c r="C97" s="1" t="s">
        <v>41</v>
      </c>
      <c r="D97" s="1" t="s">
        <v>67</v>
      </c>
      <c r="E97" s="1" t="s">
        <v>33</v>
      </c>
      <c r="F97" s="1" t="s">
        <v>11</v>
      </c>
      <c r="G97" s="1" t="s">
        <v>9</v>
      </c>
      <c r="H97" s="2">
        <v>1</v>
      </c>
      <c r="I97" s="2">
        <v>820</v>
      </c>
      <c r="J97" s="2">
        <f t="shared" si="1"/>
        <v>820</v>
      </c>
    </row>
    <row r="98" spans="1:10" x14ac:dyDescent="0.3">
      <c r="A98" s="1">
        <v>2021</v>
      </c>
      <c r="B98" s="3" t="s">
        <v>59</v>
      </c>
      <c r="C98" s="1" t="s">
        <v>42</v>
      </c>
      <c r="D98" s="1" t="s">
        <v>81</v>
      </c>
      <c r="E98" s="1" t="s">
        <v>10</v>
      </c>
      <c r="F98" s="1" t="s">
        <v>8</v>
      </c>
      <c r="G98" s="1" t="s">
        <v>9</v>
      </c>
      <c r="H98" s="2">
        <v>5</v>
      </c>
      <c r="I98" s="2">
        <v>820</v>
      </c>
      <c r="J98" s="2">
        <f t="shared" si="1"/>
        <v>4100</v>
      </c>
    </row>
    <row r="99" spans="1:10" x14ac:dyDescent="0.3">
      <c r="A99" s="1">
        <v>2021</v>
      </c>
      <c r="B99" s="3" t="s">
        <v>59</v>
      </c>
      <c r="C99" s="1" t="s">
        <v>45</v>
      </c>
      <c r="D99" s="1" t="s">
        <v>69</v>
      </c>
      <c r="E99" s="1" t="s">
        <v>20</v>
      </c>
      <c r="F99" s="1" t="s">
        <v>11</v>
      </c>
      <c r="G99" s="1" t="s">
        <v>23</v>
      </c>
      <c r="H99" s="2">
        <v>57.523494828035901</v>
      </c>
      <c r="I99" s="2">
        <v>822.77092145877896</v>
      </c>
      <c r="J99" s="2">
        <f t="shared" si="1"/>
        <v>47328.658845192404</v>
      </c>
    </row>
    <row r="100" spans="1:10" x14ac:dyDescent="0.3">
      <c r="A100" s="1">
        <v>2021</v>
      </c>
      <c r="B100" s="3" t="s">
        <v>59</v>
      </c>
      <c r="C100" s="1" t="s">
        <v>46</v>
      </c>
      <c r="D100" s="1" t="s">
        <v>49</v>
      </c>
      <c r="E100" s="1" t="s">
        <v>25</v>
      </c>
      <c r="F100" s="1" t="s">
        <v>17</v>
      </c>
      <c r="G100" s="1" t="s">
        <v>12</v>
      </c>
      <c r="H100" s="2">
        <v>64.558270462912802</v>
      </c>
      <c r="I100" s="2">
        <v>797.72352212331396</v>
      </c>
      <c r="J100" s="2">
        <f>H102*I102</f>
        <v>51147.075044928017</v>
      </c>
    </row>
    <row r="101" spans="1:10" x14ac:dyDescent="0.3">
      <c r="A101" s="1">
        <v>2021</v>
      </c>
      <c r="B101" s="3" t="s">
        <v>59</v>
      </c>
      <c r="C101" s="1" t="s">
        <v>44</v>
      </c>
      <c r="D101" s="1" t="s">
        <v>85</v>
      </c>
      <c r="E101" s="1" t="s">
        <v>20</v>
      </c>
      <c r="F101" s="1" t="s">
        <v>8</v>
      </c>
      <c r="G101" s="1" t="s">
        <v>23</v>
      </c>
      <c r="H101" s="2">
        <v>22</v>
      </c>
      <c r="I101" s="2">
        <v>1200</v>
      </c>
      <c r="J101" s="2">
        <f t="shared" si="1"/>
        <v>26400</v>
      </c>
    </row>
    <row r="102" spans="1:10" x14ac:dyDescent="0.3">
      <c r="A102" s="1">
        <v>2021</v>
      </c>
      <c r="B102" s="3" t="s">
        <v>59</v>
      </c>
      <c r="C102" s="1" t="s">
        <v>44</v>
      </c>
      <c r="D102" s="1" t="s">
        <v>85</v>
      </c>
      <c r="E102" s="1" t="s">
        <v>25</v>
      </c>
      <c r="F102" s="1" t="s">
        <v>11</v>
      </c>
      <c r="G102" s="1" t="s">
        <v>12</v>
      </c>
      <c r="H102" s="2">
        <v>63.940184880904297</v>
      </c>
      <c r="I102" s="2">
        <v>799.92066241589896</v>
      </c>
      <c r="J102" s="2">
        <f t="shared" si="1"/>
        <v>51147.075044928017</v>
      </c>
    </row>
    <row r="103" spans="1:10" x14ac:dyDescent="0.3">
      <c r="A103" s="1">
        <v>2021</v>
      </c>
      <c r="B103" s="3" t="s">
        <v>59</v>
      </c>
      <c r="C103" s="1" t="s">
        <v>45</v>
      </c>
      <c r="D103" s="1" t="s">
        <v>71</v>
      </c>
      <c r="E103" s="1" t="s">
        <v>16</v>
      </c>
      <c r="F103" s="1" t="s">
        <v>30</v>
      </c>
      <c r="G103" s="1" t="s">
        <v>9</v>
      </c>
      <c r="H103" s="2">
        <v>57.358938672813601</v>
      </c>
      <c r="I103" s="2">
        <v>823.35682553680294</v>
      </c>
      <c r="J103" s="2">
        <f t="shared" si="1"/>
        <v>47226.873661807964</v>
      </c>
    </row>
    <row r="104" spans="1:10" x14ac:dyDescent="0.3">
      <c r="A104" s="1">
        <v>2021</v>
      </c>
      <c r="B104" s="3" t="s">
        <v>59</v>
      </c>
      <c r="C104" s="1" t="s">
        <v>45</v>
      </c>
      <c r="D104" s="1" t="s">
        <v>71</v>
      </c>
      <c r="E104" s="1" t="s">
        <v>13</v>
      </c>
      <c r="F104" s="1" t="s">
        <v>22</v>
      </c>
      <c r="G104" s="1" t="s">
        <v>15</v>
      </c>
      <c r="H104" s="2">
        <v>27</v>
      </c>
      <c r="I104" s="2">
        <v>650</v>
      </c>
      <c r="J104" s="2">
        <f t="shared" si="1"/>
        <v>17550</v>
      </c>
    </row>
    <row r="105" spans="1:10" x14ac:dyDescent="0.3">
      <c r="A105" s="1">
        <v>2021</v>
      </c>
      <c r="B105" s="3" t="s">
        <v>59</v>
      </c>
      <c r="C105" s="1" t="s">
        <v>47</v>
      </c>
      <c r="D105" s="1" t="s">
        <v>72</v>
      </c>
      <c r="E105" s="1" t="s">
        <v>18</v>
      </c>
      <c r="F105" s="1" t="s">
        <v>30</v>
      </c>
      <c r="G105" s="1" t="s">
        <v>9</v>
      </c>
      <c r="H105" s="2">
        <v>26</v>
      </c>
      <c r="I105" s="2">
        <v>820</v>
      </c>
      <c r="J105" s="2">
        <f t="shared" si="1"/>
        <v>21320</v>
      </c>
    </row>
    <row r="106" spans="1:10" x14ac:dyDescent="0.3">
      <c r="A106" s="1">
        <v>2021</v>
      </c>
      <c r="B106" s="3" t="s">
        <v>59</v>
      </c>
      <c r="C106" s="1" t="s">
        <v>43</v>
      </c>
      <c r="D106" s="1" t="s">
        <v>86</v>
      </c>
      <c r="E106" s="1" t="s">
        <v>29</v>
      </c>
      <c r="F106" s="1" t="s">
        <v>11</v>
      </c>
      <c r="G106" s="1" t="s">
        <v>31</v>
      </c>
      <c r="H106" s="2">
        <v>56</v>
      </c>
      <c r="I106" s="2">
        <v>450</v>
      </c>
      <c r="J106" s="2">
        <f t="shared" si="1"/>
        <v>25200</v>
      </c>
    </row>
    <row r="107" spans="1:10" x14ac:dyDescent="0.3">
      <c r="A107" s="1">
        <v>2021</v>
      </c>
      <c r="B107" s="3" t="s">
        <v>59</v>
      </c>
      <c r="C107" s="1" t="s">
        <v>45</v>
      </c>
      <c r="D107" s="1" t="s">
        <v>75</v>
      </c>
      <c r="E107" s="1" t="s">
        <v>19</v>
      </c>
      <c r="F107" s="1" t="s">
        <v>17</v>
      </c>
      <c r="G107" s="1" t="s">
        <v>12</v>
      </c>
      <c r="H107" s="2">
        <v>61.267147358867398</v>
      </c>
      <c r="I107" s="2">
        <v>809.44160368376595</v>
      </c>
      <c r="J107" s="2">
        <f t="shared" si="1"/>
        <v>49592.178011291231</v>
      </c>
    </row>
    <row r="108" spans="1:10" x14ac:dyDescent="0.3">
      <c r="A108" s="1">
        <v>2021</v>
      </c>
      <c r="B108" s="3" t="s">
        <v>59</v>
      </c>
      <c r="C108" s="1" t="s">
        <v>46</v>
      </c>
      <c r="D108" s="1" t="s">
        <v>76</v>
      </c>
      <c r="E108" s="1" t="s">
        <v>37</v>
      </c>
      <c r="F108" s="1" t="s">
        <v>11</v>
      </c>
      <c r="G108" s="1" t="s">
        <v>23</v>
      </c>
      <c r="H108" s="2">
        <v>40</v>
      </c>
      <c r="I108" s="2">
        <v>1200</v>
      </c>
      <c r="J108" s="2">
        <f t="shared" si="1"/>
        <v>48000</v>
      </c>
    </row>
    <row r="109" spans="1:10" x14ac:dyDescent="0.3">
      <c r="A109" s="1">
        <v>2021</v>
      </c>
      <c r="B109" s="3" t="s">
        <v>59</v>
      </c>
      <c r="C109" s="1" t="s">
        <v>44</v>
      </c>
      <c r="D109" s="1" t="s">
        <v>93</v>
      </c>
      <c r="E109" s="1" t="s">
        <v>32</v>
      </c>
      <c r="F109" s="1" t="s">
        <v>8</v>
      </c>
      <c r="G109" s="1" t="s">
        <v>15</v>
      </c>
      <c r="H109" s="2">
        <v>5</v>
      </c>
      <c r="I109" s="2">
        <v>650</v>
      </c>
      <c r="J109" s="2">
        <f>H10*I10</f>
        <v>81600</v>
      </c>
    </row>
    <row r="110" spans="1:10" x14ac:dyDescent="0.3">
      <c r="A110" s="1">
        <v>2021</v>
      </c>
      <c r="B110" s="3" t="s">
        <v>59</v>
      </c>
      <c r="C110" s="1" t="s">
        <v>47</v>
      </c>
      <c r="D110" s="1" t="s">
        <v>77</v>
      </c>
      <c r="E110" s="1" t="s">
        <v>19</v>
      </c>
      <c r="F110" s="1" t="s">
        <v>22</v>
      </c>
      <c r="G110" s="1" t="s">
        <v>15</v>
      </c>
      <c r="H110" s="2">
        <v>60.362088505255002</v>
      </c>
      <c r="I110" s="2">
        <v>812.66407601288995</v>
      </c>
      <c r="J110" s="2" t="e">
        <f>#REF!*#REF!</f>
        <v>#REF!</v>
      </c>
    </row>
    <row r="111" spans="1:10" x14ac:dyDescent="0.3">
      <c r="A111" s="1">
        <v>2021</v>
      </c>
      <c r="B111" s="3" t="s">
        <v>59</v>
      </c>
      <c r="C111" s="1" t="s">
        <v>47</v>
      </c>
      <c r="D111" s="1" t="s">
        <v>77</v>
      </c>
      <c r="E111" s="1" t="s">
        <v>28</v>
      </c>
      <c r="F111" s="1" t="s">
        <v>11</v>
      </c>
      <c r="G111" s="1" t="s">
        <v>9</v>
      </c>
      <c r="H111" s="2">
        <v>58</v>
      </c>
      <c r="I111" s="2">
        <v>820</v>
      </c>
      <c r="J111" s="2">
        <f t="shared" ref="J111:J118" si="2">H11*I11</f>
        <v>6400</v>
      </c>
    </row>
    <row r="112" spans="1:10" x14ac:dyDescent="0.3">
      <c r="A112" s="1">
        <v>2021</v>
      </c>
      <c r="B112" s="3" t="s">
        <v>59</v>
      </c>
      <c r="C112" s="1" t="s">
        <v>47</v>
      </c>
      <c r="D112" s="1" t="s">
        <v>88</v>
      </c>
      <c r="E112" s="1" t="s">
        <v>36</v>
      </c>
      <c r="F112" s="1" t="s">
        <v>8</v>
      </c>
      <c r="G112" s="1" t="s">
        <v>9</v>
      </c>
      <c r="H112" s="2">
        <v>2</v>
      </c>
      <c r="I112" s="2">
        <v>950</v>
      </c>
      <c r="J112" s="2">
        <f t="shared" si="2"/>
        <v>122200</v>
      </c>
    </row>
    <row r="113" spans="1:10" x14ac:dyDescent="0.3">
      <c r="A113" s="1">
        <v>2021</v>
      </c>
      <c r="B113" s="3" t="s">
        <v>59</v>
      </c>
      <c r="C113" s="1" t="s">
        <v>41</v>
      </c>
      <c r="D113" s="1" t="s">
        <v>90</v>
      </c>
      <c r="E113" s="1" t="s">
        <v>37</v>
      </c>
      <c r="F113" s="1" t="s">
        <v>30</v>
      </c>
      <c r="G113" s="1" t="s">
        <v>12</v>
      </c>
      <c r="H113" s="2">
        <v>56</v>
      </c>
      <c r="I113" s="2">
        <v>800</v>
      </c>
      <c r="J113" s="2">
        <f t="shared" si="2"/>
        <v>21600</v>
      </c>
    </row>
    <row r="114" spans="1:10" x14ac:dyDescent="0.3">
      <c r="A114" s="1">
        <v>2021</v>
      </c>
      <c r="B114" s="3" t="s">
        <v>59</v>
      </c>
      <c r="C114" s="1" t="s">
        <v>43</v>
      </c>
      <c r="D114" s="1" t="s">
        <v>94</v>
      </c>
      <c r="E114" s="1" t="s">
        <v>25</v>
      </c>
      <c r="F114" s="1" t="s">
        <v>14</v>
      </c>
      <c r="G114" s="1" t="s">
        <v>23</v>
      </c>
      <c r="H114" s="2">
        <v>55</v>
      </c>
      <c r="I114" s="2">
        <v>1200</v>
      </c>
      <c r="J114" s="2">
        <f t="shared" si="2"/>
        <v>31200</v>
      </c>
    </row>
    <row r="115" spans="1:10" x14ac:dyDescent="0.3">
      <c r="A115" s="1">
        <v>2021</v>
      </c>
      <c r="B115" s="3" t="s">
        <v>60</v>
      </c>
      <c r="C115" s="1" t="s">
        <v>44</v>
      </c>
      <c r="D115" s="1" t="s">
        <v>67</v>
      </c>
      <c r="E115" s="1" t="s">
        <v>18</v>
      </c>
      <c r="F115" s="1" t="s">
        <v>22</v>
      </c>
      <c r="G115" s="1" t="s">
        <v>23</v>
      </c>
      <c r="H115" s="2">
        <v>166</v>
      </c>
      <c r="I115" s="2">
        <v>1200</v>
      </c>
      <c r="J115" s="2">
        <f t="shared" si="2"/>
        <v>46663.608348410176</v>
      </c>
    </row>
    <row r="116" spans="1:10" x14ac:dyDescent="0.3">
      <c r="A116" s="1">
        <v>2021</v>
      </c>
      <c r="B116" s="3" t="s">
        <v>60</v>
      </c>
      <c r="C116" s="1" t="s">
        <v>47</v>
      </c>
      <c r="D116" s="1" t="s">
        <v>67</v>
      </c>
      <c r="E116" s="1" t="s">
        <v>34</v>
      </c>
      <c r="F116" s="1" t="s">
        <v>8</v>
      </c>
      <c r="G116" s="1" t="s">
        <v>23</v>
      </c>
      <c r="H116" s="2">
        <v>13</v>
      </c>
      <c r="I116" s="2">
        <v>1200</v>
      </c>
      <c r="J116" s="2">
        <f t="shared" si="2"/>
        <v>51871.889716376631</v>
      </c>
    </row>
    <row r="117" spans="1:10" x14ac:dyDescent="0.3">
      <c r="A117" s="1">
        <v>2021</v>
      </c>
      <c r="B117" s="3" t="s">
        <v>60</v>
      </c>
      <c r="C117" s="1" t="s">
        <v>41</v>
      </c>
      <c r="D117" s="1" t="s">
        <v>91</v>
      </c>
      <c r="E117" s="1" t="s">
        <v>7</v>
      </c>
      <c r="F117" s="1" t="s">
        <v>11</v>
      </c>
      <c r="G117" s="1" t="s">
        <v>12</v>
      </c>
      <c r="H117" s="2">
        <v>97</v>
      </c>
      <c r="I117" s="2">
        <v>800</v>
      </c>
      <c r="J117" s="2">
        <f t="shared" si="2"/>
        <v>820</v>
      </c>
    </row>
    <row r="118" spans="1:10" x14ac:dyDescent="0.3">
      <c r="A118" s="1">
        <v>2021</v>
      </c>
      <c r="B118" s="3" t="s">
        <v>60</v>
      </c>
      <c r="C118" s="1" t="s">
        <v>43</v>
      </c>
      <c r="D118" s="1" t="s">
        <v>81</v>
      </c>
      <c r="E118" s="1" t="s">
        <v>29</v>
      </c>
      <c r="F118" s="1" t="s">
        <v>22</v>
      </c>
      <c r="G118" s="1" t="s">
        <v>23</v>
      </c>
      <c r="H118" s="2">
        <v>41</v>
      </c>
      <c r="I118" s="2">
        <v>1200</v>
      </c>
      <c r="J118" s="2">
        <f t="shared" si="2"/>
        <v>22400</v>
      </c>
    </row>
    <row r="119" spans="1:10" x14ac:dyDescent="0.3">
      <c r="A119" s="1">
        <v>2021</v>
      </c>
      <c r="B119" s="3" t="s">
        <v>60</v>
      </c>
      <c r="C119" s="1" t="s">
        <v>46</v>
      </c>
      <c r="D119" s="1" t="s">
        <v>68</v>
      </c>
      <c r="E119" s="1" t="s">
        <v>16</v>
      </c>
      <c r="F119" s="1" t="s">
        <v>22</v>
      </c>
      <c r="G119" s="1" t="s">
        <v>12</v>
      </c>
      <c r="H119" s="2">
        <v>69</v>
      </c>
      <c r="I119" s="2">
        <v>800</v>
      </c>
      <c r="J119" s="2">
        <f t="shared" si="1"/>
        <v>55200</v>
      </c>
    </row>
    <row r="120" spans="1:10" x14ac:dyDescent="0.3">
      <c r="A120" s="1">
        <v>2021</v>
      </c>
      <c r="B120" s="3" t="s">
        <v>60</v>
      </c>
      <c r="C120" s="1" t="s">
        <v>46</v>
      </c>
      <c r="D120" s="1" t="s">
        <v>68</v>
      </c>
      <c r="E120" s="1" t="s">
        <v>20</v>
      </c>
      <c r="F120" s="1" t="s">
        <v>30</v>
      </c>
      <c r="G120" s="1" t="s">
        <v>9</v>
      </c>
      <c r="H120" s="2">
        <v>68.219644916163205</v>
      </c>
      <c r="I120" s="2">
        <v>784.68715638731203</v>
      </c>
      <c r="J120" s="2">
        <f t="shared" si="1"/>
        <v>53531.079179016255</v>
      </c>
    </row>
    <row r="121" spans="1:10" x14ac:dyDescent="0.3">
      <c r="A121" s="1">
        <v>2021</v>
      </c>
      <c r="B121" s="3" t="s">
        <v>60</v>
      </c>
      <c r="C121" s="1" t="s">
        <v>41</v>
      </c>
      <c r="D121" s="1" t="s">
        <v>69</v>
      </c>
      <c r="E121" s="1" t="s">
        <v>10</v>
      </c>
      <c r="F121" s="1" t="s">
        <v>11</v>
      </c>
      <c r="G121" s="1" t="s">
        <v>12</v>
      </c>
      <c r="H121" s="2">
        <v>54</v>
      </c>
      <c r="I121" s="2">
        <v>800</v>
      </c>
      <c r="J121" s="2">
        <f t="shared" si="1"/>
        <v>43200</v>
      </c>
    </row>
    <row r="122" spans="1:10" x14ac:dyDescent="0.3">
      <c r="A122" s="1">
        <v>2021</v>
      </c>
      <c r="B122" s="3" t="s">
        <v>60</v>
      </c>
      <c r="C122" s="1" t="s">
        <v>43</v>
      </c>
      <c r="D122" s="1" t="s">
        <v>83</v>
      </c>
      <c r="E122" s="1" t="s">
        <v>7</v>
      </c>
      <c r="F122" s="1" t="s">
        <v>8</v>
      </c>
      <c r="G122" s="1" t="s">
        <v>23</v>
      </c>
      <c r="H122" s="2">
        <v>86</v>
      </c>
      <c r="I122" s="2">
        <v>1200</v>
      </c>
      <c r="J122" s="2">
        <f t="shared" si="1"/>
        <v>103200</v>
      </c>
    </row>
    <row r="123" spans="1:10" x14ac:dyDescent="0.3">
      <c r="A123" s="1">
        <v>2021</v>
      </c>
      <c r="B123" s="3" t="s">
        <v>60</v>
      </c>
      <c r="C123" s="1" t="s">
        <v>43</v>
      </c>
      <c r="D123" s="1" t="s">
        <v>83</v>
      </c>
      <c r="E123" s="1" t="s">
        <v>24</v>
      </c>
      <c r="F123" s="1" t="s">
        <v>22</v>
      </c>
      <c r="G123" s="1" t="s">
        <v>23</v>
      </c>
      <c r="H123" s="2">
        <v>40</v>
      </c>
      <c r="I123" s="2">
        <v>1200</v>
      </c>
      <c r="J123" s="2">
        <f t="shared" si="1"/>
        <v>48000</v>
      </c>
    </row>
    <row r="124" spans="1:10" x14ac:dyDescent="0.3">
      <c r="A124" s="1">
        <v>2021</v>
      </c>
      <c r="B124" s="3" t="s">
        <v>60</v>
      </c>
      <c r="C124" s="1" t="s">
        <v>42</v>
      </c>
      <c r="D124" s="1" t="s">
        <v>49</v>
      </c>
      <c r="E124" s="1" t="s">
        <v>36</v>
      </c>
      <c r="F124" s="1" t="s">
        <v>14</v>
      </c>
      <c r="G124" s="1" t="s">
        <v>31</v>
      </c>
      <c r="H124" s="2">
        <v>96</v>
      </c>
      <c r="I124" s="2">
        <v>450</v>
      </c>
      <c r="J124" s="2">
        <f t="shared" si="1"/>
        <v>43200</v>
      </c>
    </row>
    <row r="125" spans="1:10" x14ac:dyDescent="0.3">
      <c r="A125" s="1">
        <v>2021</v>
      </c>
      <c r="B125" s="3" t="s">
        <v>60</v>
      </c>
      <c r="C125" s="1" t="s">
        <v>47</v>
      </c>
      <c r="D125" s="1" t="s">
        <v>85</v>
      </c>
      <c r="E125" s="1" t="s">
        <v>26</v>
      </c>
      <c r="F125" s="1" t="s">
        <v>17</v>
      </c>
      <c r="G125" s="1" t="s">
        <v>9</v>
      </c>
      <c r="H125" s="2">
        <v>29</v>
      </c>
      <c r="I125" s="2">
        <v>820</v>
      </c>
      <c r="J125" s="2">
        <f t="shared" si="1"/>
        <v>23780</v>
      </c>
    </row>
    <row r="126" spans="1:10" x14ac:dyDescent="0.3">
      <c r="A126" s="1">
        <v>2021</v>
      </c>
      <c r="B126" s="3" t="s">
        <v>60</v>
      </c>
      <c r="C126" s="1" t="s">
        <v>42</v>
      </c>
      <c r="D126" s="1" t="s">
        <v>95</v>
      </c>
      <c r="E126" s="1" t="s">
        <v>20</v>
      </c>
      <c r="F126" s="1" t="s">
        <v>30</v>
      </c>
      <c r="G126" s="1" t="s">
        <v>23</v>
      </c>
      <c r="H126" s="2">
        <v>68.713313381770007</v>
      </c>
      <c r="I126" s="2">
        <v>782.92944415324496</v>
      </c>
      <c r="J126" s="2">
        <f t="shared" si="1"/>
        <v>53797.676251916921</v>
      </c>
    </row>
    <row r="127" spans="1:10" x14ac:dyDescent="0.3">
      <c r="A127" s="1">
        <v>2021</v>
      </c>
      <c r="B127" s="3" t="s">
        <v>60</v>
      </c>
      <c r="C127" s="1" t="s">
        <v>43</v>
      </c>
      <c r="D127" s="1" t="s">
        <v>72</v>
      </c>
      <c r="E127" s="1" t="s">
        <v>25</v>
      </c>
      <c r="F127" s="1" t="s">
        <v>8</v>
      </c>
      <c r="G127" s="1" t="s">
        <v>9</v>
      </c>
      <c r="H127" s="2">
        <v>64.640548540513905</v>
      </c>
      <c r="I127" s="2">
        <v>797.43057008430299</v>
      </c>
      <c r="J127" s="2">
        <f t="shared" si="1"/>
        <v>51546.349473224065</v>
      </c>
    </row>
    <row r="128" spans="1:10" x14ac:dyDescent="0.3">
      <c r="A128" s="1">
        <v>2021</v>
      </c>
      <c r="B128" s="3" t="s">
        <v>60</v>
      </c>
      <c r="C128" s="1" t="s">
        <v>44</v>
      </c>
      <c r="D128" s="1" t="s">
        <v>73</v>
      </c>
      <c r="E128" s="1" t="s">
        <v>16</v>
      </c>
      <c r="F128" s="1" t="s">
        <v>14</v>
      </c>
      <c r="G128" s="1" t="s">
        <v>9</v>
      </c>
      <c r="H128" s="2">
        <v>41</v>
      </c>
      <c r="I128" s="2">
        <v>950</v>
      </c>
      <c r="J128" s="2">
        <f t="shared" si="1"/>
        <v>38950</v>
      </c>
    </row>
    <row r="129" spans="1:10" x14ac:dyDescent="0.3">
      <c r="A129" s="1">
        <v>2021</v>
      </c>
      <c r="B129" s="3" t="s">
        <v>60</v>
      </c>
      <c r="C129" s="1" t="s">
        <v>44</v>
      </c>
      <c r="D129" s="1" t="s">
        <v>73</v>
      </c>
      <c r="E129" s="1" t="s">
        <v>33</v>
      </c>
      <c r="F129" s="1" t="s">
        <v>11</v>
      </c>
      <c r="G129" s="1" t="s">
        <v>12</v>
      </c>
      <c r="H129" s="2">
        <v>35</v>
      </c>
      <c r="I129" s="2">
        <v>800</v>
      </c>
      <c r="J129" s="2">
        <f t="shared" si="1"/>
        <v>28000</v>
      </c>
    </row>
    <row r="130" spans="1:10" x14ac:dyDescent="0.3">
      <c r="A130" s="1">
        <v>2021</v>
      </c>
      <c r="B130" s="3" t="s">
        <v>60</v>
      </c>
      <c r="C130" s="1" t="s">
        <v>46</v>
      </c>
      <c r="D130" s="1" t="s">
        <v>86</v>
      </c>
      <c r="E130" s="1" t="s">
        <v>35</v>
      </c>
      <c r="F130" s="1" t="s">
        <v>14</v>
      </c>
      <c r="G130" s="1" t="s">
        <v>23</v>
      </c>
      <c r="H130" s="2">
        <v>135</v>
      </c>
      <c r="I130" s="2">
        <v>1200</v>
      </c>
      <c r="J130" s="2">
        <f t="shared" ref="J130:J193" si="3">H130*I130</f>
        <v>162000</v>
      </c>
    </row>
    <row r="131" spans="1:10" x14ac:dyDescent="0.3">
      <c r="A131" s="1">
        <v>2021</v>
      </c>
      <c r="B131" s="3" t="s">
        <v>60</v>
      </c>
      <c r="C131" s="1" t="s">
        <v>42</v>
      </c>
      <c r="D131" s="1" t="s">
        <v>76</v>
      </c>
      <c r="E131" s="1" t="s">
        <v>25</v>
      </c>
      <c r="F131" s="1" t="s">
        <v>14</v>
      </c>
      <c r="G131" s="1" t="s">
        <v>23</v>
      </c>
      <c r="H131" s="2">
        <v>64.517131424012206</v>
      </c>
      <c r="I131" s="2">
        <v>797.86999814282001</v>
      </c>
      <c r="J131" s="2">
        <f t="shared" si="3"/>
        <v>51476.28352945669</v>
      </c>
    </row>
    <row r="132" spans="1:10" x14ac:dyDescent="0.3">
      <c r="A132" s="1">
        <v>2021</v>
      </c>
      <c r="B132" s="3" t="s">
        <v>60</v>
      </c>
      <c r="C132" s="1" t="s">
        <v>42</v>
      </c>
      <c r="D132" s="1" t="s">
        <v>76</v>
      </c>
      <c r="E132" s="1" t="s">
        <v>10</v>
      </c>
      <c r="F132" s="1" t="s">
        <v>17</v>
      </c>
      <c r="G132" s="1" t="s">
        <v>12</v>
      </c>
      <c r="H132" s="2">
        <v>19</v>
      </c>
      <c r="I132" s="2">
        <v>800</v>
      </c>
      <c r="J132" s="2">
        <f t="shared" si="3"/>
        <v>15200</v>
      </c>
    </row>
    <row r="133" spans="1:10" x14ac:dyDescent="0.3">
      <c r="A133" s="1">
        <v>2021</v>
      </c>
      <c r="B133" s="3" t="s">
        <v>60</v>
      </c>
      <c r="C133" s="1" t="s">
        <v>43</v>
      </c>
      <c r="D133" s="1" t="s">
        <v>93</v>
      </c>
      <c r="E133" s="1" t="s">
        <v>25</v>
      </c>
      <c r="F133" s="1" t="s">
        <v>17</v>
      </c>
      <c r="G133" s="1" t="s">
        <v>12</v>
      </c>
      <c r="H133" s="2">
        <v>9</v>
      </c>
      <c r="I133" s="2">
        <v>800</v>
      </c>
      <c r="J133" s="2">
        <f t="shared" si="3"/>
        <v>7200</v>
      </c>
    </row>
    <row r="134" spans="1:10" x14ac:dyDescent="0.3">
      <c r="A134" s="1">
        <v>2021</v>
      </c>
      <c r="B134" s="3" t="s">
        <v>60</v>
      </c>
      <c r="C134" s="1" t="s">
        <v>43</v>
      </c>
      <c r="D134" s="1" t="s">
        <v>93</v>
      </c>
      <c r="E134" s="1" t="s">
        <v>25</v>
      </c>
      <c r="F134" s="1" t="s">
        <v>17</v>
      </c>
      <c r="G134" s="1" t="s">
        <v>23</v>
      </c>
      <c r="H134" s="2">
        <v>18</v>
      </c>
      <c r="I134" s="2">
        <v>1200</v>
      </c>
      <c r="J134" s="2">
        <f t="shared" si="3"/>
        <v>21600</v>
      </c>
    </row>
    <row r="135" spans="1:10" x14ac:dyDescent="0.3">
      <c r="A135" s="1">
        <v>2021</v>
      </c>
      <c r="B135" s="3" t="s">
        <v>60</v>
      </c>
      <c r="C135" s="1" t="s">
        <v>45</v>
      </c>
      <c r="D135" s="1" t="s">
        <v>78</v>
      </c>
      <c r="E135" s="1" t="s">
        <v>20</v>
      </c>
      <c r="F135" s="1" t="s">
        <v>30</v>
      </c>
      <c r="G135" s="1" t="s">
        <v>31</v>
      </c>
      <c r="H135" s="2">
        <v>28</v>
      </c>
      <c r="I135" s="2">
        <v>450</v>
      </c>
      <c r="J135" s="2">
        <f t="shared" si="3"/>
        <v>12600</v>
      </c>
    </row>
    <row r="136" spans="1:10" x14ac:dyDescent="0.3">
      <c r="A136" s="1">
        <v>2021</v>
      </c>
      <c r="B136" s="3" t="s">
        <v>60</v>
      </c>
      <c r="C136" s="1" t="s">
        <v>46</v>
      </c>
      <c r="D136" s="1" t="s">
        <v>88</v>
      </c>
      <c r="E136" s="1" t="s">
        <v>16</v>
      </c>
      <c r="F136" s="1" t="s">
        <v>17</v>
      </c>
      <c r="G136" s="1" t="s">
        <v>9</v>
      </c>
      <c r="H136" s="2">
        <v>65.874719704530904</v>
      </c>
      <c r="I136" s="2">
        <v>793.036289499134</v>
      </c>
      <c r="J136" s="2">
        <f t="shared" si="3"/>
        <v>52241.043286276676</v>
      </c>
    </row>
    <row r="137" spans="1:10" x14ac:dyDescent="0.3">
      <c r="A137" s="1">
        <v>2021</v>
      </c>
      <c r="B137" s="3" t="s">
        <v>60</v>
      </c>
      <c r="C137" s="1" t="s">
        <v>47</v>
      </c>
      <c r="D137" s="1" t="s">
        <v>89</v>
      </c>
      <c r="E137" s="1" t="s">
        <v>25</v>
      </c>
      <c r="F137" s="1" t="s">
        <v>14</v>
      </c>
      <c r="G137" s="1" t="s">
        <v>23</v>
      </c>
      <c r="H137" s="2">
        <v>86</v>
      </c>
      <c r="I137" s="2">
        <v>1200</v>
      </c>
      <c r="J137" s="2">
        <f t="shared" si="3"/>
        <v>103200</v>
      </c>
    </row>
    <row r="138" spans="1:10" x14ac:dyDescent="0.3">
      <c r="A138" s="1">
        <v>2021</v>
      </c>
      <c r="B138" s="3" t="s">
        <v>60</v>
      </c>
      <c r="C138" s="1" t="s">
        <v>47</v>
      </c>
      <c r="D138" s="1" t="s">
        <v>89</v>
      </c>
      <c r="E138" s="1" t="s">
        <v>20</v>
      </c>
      <c r="F138" s="1" t="s">
        <v>14</v>
      </c>
      <c r="G138" s="1" t="s">
        <v>9</v>
      </c>
      <c r="H138" s="2">
        <v>57.6469019444176</v>
      </c>
      <c r="I138" s="2">
        <v>822.33149340026205</v>
      </c>
      <c r="J138" s="2">
        <f t="shared" si="3"/>
        <v>47404.862965851396</v>
      </c>
    </row>
    <row r="139" spans="1:10" x14ac:dyDescent="0.3">
      <c r="A139" s="1">
        <v>2021</v>
      </c>
      <c r="B139" s="3" t="s">
        <v>60</v>
      </c>
      <c r="C139" s="1" t="s">
        <v>41</v>
      </c>
      <c r="D139" s="1" t="s">
        <v>79</v>
      </c>
      <c r="E139" s="1" t="s">
        <v>19</v>
      </c>
      <c r="F139" s="1" t="s">
        <v>22</v>
      </c>
      <c r="G139" s="1" t="s">
        <v>9</v>
      </c>
      <c r="H139" s="2">
        <v>20</v>
      </c>
      <c r="I139" s="2">
        <v>950</v>
      </c>
      <c r="J139" s="2">
        <f t="shared" si="3"/>
        <v>19000</v>
      </c>
    </row>
    <row r="140" spans="1:10" x14ac:dyDescent="0.3">
      <c r="A140" s="1">
        <v>2021</v>
      </c>
      <c r="B140" s="3" t="s">
        <v>60</v>
      </c>
      <c r="C140" s="1" t="s">
        <v>41</v>
      </c>
      <c r="D140" s="1" t="s">
        <v>79</v>
      </c>
      <c r="E140" s="1" t="s">
        <v>28</v>
      </c>
      <c r="F140" s="1" t="s">
        <v>22</v>
      </c>
      <c r="G140" s="1" t="s">
        <v>12</v>
      </c>
      <c r="H140" s="2">
        <v>18</v>
      </c>
      <c r="I140" s="2">
        <v>800</v>
      </c>
      <c r="J140" s="2">
        <f t="shared" si="3"/>
        <v>14400</v>
      </c>
    </row>
    <row r="141" spans="1:10" x14ac:dyDescent="0.3">
      <c r="A141" s="1">
        <v>2021</v>
      </c>
      <c r="B141" s="3" t="s">
        <v>60</v>
      </c>
      <c r="C141" s="1" t="s">
        <v>42</v>
      </c>
      <c r="D141" s="1" t="s">
        <v>80</v>
      </c>
      <c r="E141" s="1" t="s">
        <v>21</v>
      </c>
      <c r="F141" s="1" t="s">
        <v>11</v>
      </c>
      <c r="G141" s="1" t="s">
        <v>15</v>
      </c>
      <c r="H141" s="2">
        <v>50</v>
      </c>
      <c r="I141" s="2">
        <v>650</v>
      </c>
      <c r="J141" s="2">
        <f t="shared" si="3"/>
        <v>32500</v>
      </c>
    </row>
    <row r="142" spans="1:10" x14ac:dyDescent="0.3">
      <c r="A142" s="1">
        <v>2021</v>
      </c>
      <c r="B142" s="3" t="s">
        <v>60</v>
      </c>
      <c r="C142" s="1" t="s">
        <v>42</v>
      </c>
      <c r="D142" s="1" t="s">
        <v>80</v>
      </c>
      <c r="E142" s="1" t="s">
        <v>37</v>
      </c>
      <c r="F142" s="1" t="s">
        <v>14</v>
      </c>
      <c r="G142" s="1" t="s">
        <v>9</v>
      </c>
      <c r="H142" s="2" t="s">
        <v>49</v>
      </c>
      <c r="I142" s="2">
        <v>820</v>
      </c>
      <c r="J142" s="2">
        <f t="shared" si="3"/>
        <v>820</v>
      </c>
    </row>
    <row r="143" spans="1:10" x14ac:dyDescent="0.3">
      <c r="A143" s="1">
        <v>2021</v>
      </c>
      <c r="B143" s="3" t="s">
        <v>60</v>
      </c>
      <c r="C143" s="1" t="s">
        <v>43</v>
      </c>
      <c r="D143" s="1" t="s">
        <v>90</v>
      </c>
      <c r="E143" s="1" t="s">
        <v>16</v>
      </c>
      <c r="F143" s="1" t="s">
        <v>14</v>
      </c>
      <c r="G143" s="1" t="s">
        <v>9</v>
      </c>
      <c r="H143" s="2">
        <v>66.080414898533704</v>
      </c>
      <c r="I143" s="2">
        <v>792.30390940360599</v>
      </c>
      <c r="J143" s="2">
        <f t="shared" si="3"/>
        <v>52355.77105912054</v>
      </c>
    </row>
    <row r="144" spans="1:10" x14ac:dyDescent="0.3">
      <c r="A144" s="1">
        <v>2021</v>
      </c>
      <c r="B144" s="3" t="s">
        <v>61</v>
      </c>
      <c r="C144" s="1" t="s">
        <v>45</v>
      </c>
      <c r="D144" s="1" t="s">
        <v>91</v>
      </c>
      <c r="E144" s="1" t="s">
        <v>20</v>
      </c>
      <c r="F144" s="1" t="s">
        <v>14</v>
      </c>
      <c r="G144" s="1" t="s">
        <v>9</v>
      </c>
      <c r="H144" s="2">
        <v>68.548757226567702</v>
      </c>
      <c r="I144" s="2">
        <v>783.51534823126701</v>
      </c>
      <c r="J144" s="2">
        <f t="shared" si="3"/>
        <v>53709.003389194775</v>
      </c>
    </row>
    <row r="145" spans="1:10" x14ac:dyDescent="0.3">
      <c r="A145" s="1">
        <v>2021</v>
      </c>
      <c r="B145" s="3" t="s">
        <v>61</v>
      </c>
      <c r="C145" s="1" t="s">
        <v>42</v>
      </c>
      <c r="D145" s="1" t="s">
        <v>92</v>
      </c>
      <c r="E145" s="1" t="s">
        <v>7</v>
      </c>
      <c r="F145" s="1" t="s">
        <v>30</v>
      </c>
      <c r="G145" s="1" t="s">
        <v>31</v>
      </c>
      <c r="H145" s="2">
        <v>130</v>
      </c>
      <c r="I145" s="2">
        <v>450</v>
      </c>
      <c r="J145" s="2">
        <f t="shared" si="3"/>
        <v>58500</v>
      </c>
    </row>
    <row r="146" spans="1:10" x14ac:dyDescent="0.3">
      <c r="A146" s="1">
        <v>2021</v>
      </c>
      <c r="B146" s="3" t="s">
        <v>61</v>
      </c>
      <c r="C146" s="1" t="s">
        <v>43</v>
      </c>
      <c r="D146" s="1" t="s">
        <v>69</v>
      </c>
      <c r="E146" s="1" t="s">
        <v>26</v>
      </c>
      <c r="F146" s="1" t="s">
        <v>17</v>
      </c>
      <c r="G146" s="1" t="s">
        <v>12</v>
      </c>
      <c r="H146" s="2">
        <v>14</v>
      </c>
      <c r="I146" s="2">
        <v>800</v>
      </c>
      <c r="J146" s="2">
        <f t="shared" si="3"/>
        <v>11200</v>
      </c>
    </row>
    <row r="147" spans="1:10" x14ac:dyDescent="0.3">
      <c r="A147" s="1">
        <v>2021</v>
      </c>
      <c r="B147" s="3" t="s">
        <v>61</v>
      </c>
      <c r="C147" s="1" t="s">
        <v>43</v>
      </c>
      <c r="D147" s="1" t="s">
        <v>69</v>
      </c>
      <c r="E147" s="1" t="s">
        <v>29</v>
      </c>
      <c r="F147" s="1" t="s">
        <v>14</v>
      </c>
      <c r="G147" s="1" t="s">
        <v>12</v>
      </c>
      <c r="H147" s="2">
        <v>14</v>
      </c>
      <c r="I147" s="2">
        <v>800</v>
      </c>
      <c r="J147" s="2">
        <f t="shared" si="3"/>
        <v>11200</v>
      </c>
    </row>
    <row r="148" spans="1:10" x14ac:dyDescent="0.3">
      <c r="A148" s="1">
        <v>2021</v>
      </c>
      <c r="B148" s="3" t="s">
        <v>61</v>
      </c>
      <c r="C148" s="1" t="s">
        <v>44</v>
      </c>
      <c r="D148" s="1" t="s">
        <v>82</v>
      </c>
      <c r="E148" s="1" t="s">
        <v>26</v>
      </c>
      <c r="F148" s="1" t="s">
        <v>8</v>
      </c>
      <c r="G148" s="1" t="s">
        <v>9</v>
      </c>
      <c r="H148" s="2">
        <v>40</v>
      </c>
      <c r="I148" s="2">
        <v>820</v>
      </c>
      <c r="J148" s="2">
        <f t="shared" si="3"/>
        <v>32800</v>
      </c>
    </row>
    <row r="149" spans="1:10" x14ac:dyDescent="0.3">
      <c r="A149" s="1">
        <v>2021</v>
      </c>
      <c r="B149" s="3" t="s">
        <v>61</v>
      </c>
      <c r="C149" s="1" t="s">
        <v>44</v>
      </c>
      <c r="D149" s="1" t="s">
        <v>82</v>
      </c>
      <c r="E149" s="1" t="s">
        <v>36</v>
      </c>
      <c r="F149" s="1" t="s">
        <v>8</v>
      </c>
      <c r="G149" s="1" t="s">
        <v>12</v>
      </c>
      <c r="H149" s="2">
        <v>29</v>
      </c>
      <c r="I149" s="2">
        <v>800</v>
      </c>
      <c r="J149" s="2">
        <f t="shared" si="3"/>
        <v>23200</v>
      </c>
    </row>
    <row r="150" spans="1:10" x14ac:dyDescent="0.3">
      <c r="A150" s="1">
        <v>2021</v>
      </c>
      <c r="B150" s="3" t="s">
        <v>61</v>
      </c>
      <c r="C150" s="1" t="s">
        <v>46</v>
      </c>
      <c r="D150" s="1" t="s">
        <v>84</v>
      </c>
      <c r="E150" s="1" t="s">
        <v>25</v>
      </c>
      <c r="F150" s="1" t="s">
        <v>11</v>
      </c>
      <c r="G150" s="1" t="s">
        <v>23</v>
      </c>
      <c r="H150" s="2">
        <v>63.529794492898603</v>
      </c>
      <c r="I150" s="2">
        <v>803.38542261095495</v>
      </c>
      <c r="J150" s="2">
        <f t="shared" si="3"/>
        <v>51038.910797064462</v>
      </c>
    </row>
    <row r="151" spans="1:10" x14ac:dyDescent="0.3">
      <c r="A151" s="1">
        <v>2021</v>
      </c>
      <c r="B151" s="3" t="s">
        <v>61</v>
      </c>
      <c r="C151" s="1" t="s">
        <v>41</v>
      </c>
      <c r="D151" s="1" t="s">
        <v>70</v>
      </c>
      <c r="E151" s="1" t="s">
        <v>16</v>
      </c>
      <c r="F151" s="1" t="s">
        <v>17</v>
      </c>
      <c r="G151" s="1" t="s">
        <v>31</v>
      </c>
      <c r="H151" s="2">
        <v>65.545607394126407</v>
      </c>
      <c r="I151" s="2">
        <v>794.20809765517902</v>
      </c>
      <c r="J151" s="2">
        <f t="shared" si="3"/>
        <v>52056.85215814237</v>
      </c>
    </row>
    <row r="152" spans="1:10" x14ac:dyDescent="0.3">
      <c r="A152" s="1">
        <v>2021</v>
      </c>
      <c r="B152" s="3" t="s">
        <v>61</v>
      </c>
      <c r="C152" s="1" t="s">
        <v>43</v>
      </c>
      <c r="D152" s="1" t="s">
        <v>71</v>
      </c>
      <c r="E152" s="1" t="s">
        <v>25</v>
      </c>
      <c r="F152" s="1" t="s">
        <v>30</v>
      </c>
      <c r="G152" s="1" t="s">
        <v>12</v>
      </c>
      <c r="H152" s="2">
        <v>45</v>
      </c>
      <c r="I152" s="2">
        <v>800</v>
      </c>
      <c r="J152" s="2">
        <f t="shared" si="3"/>
        <v>36000</v>
      </c>
    </row>
    <row r="153" spans="1:10" x14ac:dyDescent="0.3">
      <c r="A153" s="1">
        <v>2021</v>
      </c>
      <c r="B153" s="3" t="s">
        <v>61</v>
      </c>
      <c r="C153" s="1" t="s">
        <v>43</v>
      </c>
      <c r="D153" s="1" t="s">
        <v>71</v>
      </c>
      <c r="E153" s="1" t="s">
        <v>18</v>
      </c>
      <c r="F153" s="1" t="s">
        <v>30</v>
      </c>
      <c r="G153" s="1" t="s">
        <v>9</v>
      </c>
      <c r="H153" s="2">
        <v>29</v>
      </c>
      <c r="I153" s="2">
        <v>820</v>
      </c>
      <c r="J153" s="2">
        <f t="shared" si="3"/>
        <v>23780</v>
      </c>
    </row>
    <row r="154" spans="1:10" x14ac:dyDescent="0.3">
      <c r="A154" s="1">
        <v>2021</v>
      </c>
      <c r="B154" s="3" t="s">
        <v>61</v>
      </c>
      <c r="C154" s="1" t="s">
        <v>44</v>
      </c>
      <c r="D154" s="1" t="s">
        <v>95</v>
      </c>
      <c r="E154" s="1" t="s">
        <v>25</v>
      </c>
      <c r="F154" s="1" t="s">
        <v>11</v>
      </c>
      <c r="G154" s="1" t="s">
        <v>12</v>
      </c>
      <c r="H154" s="2">
        <v>1</v>
      </c>
      <c r="I154" s="2">
        <v>800</v>
      </c>
      <c r="J154" s="2">
        <f t="shared" si="3"/>
        <v>800</v>
      </c>
    </row>
    <row r="155" spans="1:10" x14ac:dyDescent="0.3">
      <c r="A155" s="1">
        <v>2021</v>
      </c>
      <c r="B155" s="3" t="s">
        <v>61</v>
      </c>
      <c r="C155" s="1" t="s">
        <v>46</v>
      </c>
      <c r="D155" s="1" t="s">
        <v>73</v>
      </c>
      <c r="E155" s="1" t="s">
        <v>33</v>
      </c>
      <c r="F155" s="1" t="s">
        <v>22</v>
      </c>
      <c r="G155" s="1" t="s">
        <v>31</v>
      </c>
      <c r="H155" s="2">
        <v>98</v>
      </c>
      <c r="I155" s="2">
        <v>450</v>
      </c>
      <c r="J155" s="2">
        <f t="shared" si="3"/>
        <v>44100</v>
      </c>
    </row>
    <row r="156" spans="1:10" x14ac:dyDescent="0.3">
      <c r="A156" s="1">
        <v>2021</v>
      </c>
      <c r="B156" s="3" t="s">
        <v>61</v>
      </c>
      <c r="C156" s="1" t="s">
        <v>47</v>
      </c>
      <c r="D156" s="1" t="s">
        <v>74</v>
      </c>
      <c r="E156" s="1" t="s">
        <v>26</v>
      </c>
      <c r="F156" s="1" t="s">
        <v>14</v>
      </c>
      <c r="G156" s="1" t="s">
        <v>23</v>
      </c>
      <c r="H156" s="2">
        <v>109</v>
      </c>
      <c r="I156" s="2">
        <v>1200</v>
      </c>
      <c r="J156" s="2">
        <f t="shared" si="3"/>
        <v>130800</v>
      </c>
    </row>
    <row r="157" spans="1:10" x14ac:dyDescent="0.3">
      <c r="A157" s="1">
        <v>2021</v>
      </c>
      <c r="B157" s="3" t="s">
        <v>61</v>
      </c>
      <c r="C157" s="1" t="s">
        <v>43</v>
      </c>
      <c r="D157" s="1" t="s">
        <v>75</v>
      </c>
      <c r="E157" s="1" t="s">
        <v>20</v>
      </c>
      <c r="F157" s="1" t="s">
        <v>30</v>
      </c>
      <c r="G157" s="1" t="s">
        <v>31</v>
      </c>
      <c r="H157" s="2">
        <v>23</v>
      </c>
      <c r="I157" s="2">
        <v>450</v>
      </c>
      <c r="J157" s="2">
        <f t="shared" si="3"/>
        <v>10350</v>
      </c>
    </row>
    <row r="158" spans="1:10" x14ac:dyDescent="0.3">
      <c r="A158" s="1">
        <v>2021</v>
      </c>
      <c r="B158" s="3" t="s">
        <v>61</v>
      </c>
      <c r="C158" s="1" t="s">
        <v>43</v>
      </c>
      <c r="D158" s="1" t="s">
        <v>75</v>
      </c>
      <c r="E158" s="1" t="s">
        <v>7</v>
      </c>
      <c r="F158" s="1" t="s">
        <v>14</v>
      </c>
      <c r="G158" s="1" t="s">
        <v>23</v>
      </c>
      <c r="H158" s="2">
        <v>8</v>
      </c>
      <c r="I158" s="2">
        <v>1200</v>
      </c>
      <c r="J158" s="2">
        <f t="shared" si="3"/>
        <v>9600</v>
      </c>
    </row>
    <row r="159" spans="1:10" x14ac:dyDescent="0.3">
      <c r="A159" s="1">
        <v>2021</v>
      </c>
      <c r="B159" s="3" t="s">
        <v>61</v>
      </c>
      <c r="C159" s="1" t="s">
        <v>43</v>
      </c>
      <c r="D159" s="1" t="s">
        <v>75</v>
      </c>
      <c r="E159" s="1" t="s">
        <v>32</v>
      </c>
      <c r="F159" s="1" t="s">
        <v>8</v>
      </c>
      <c r="G159" s="1" t="s">
        <v>12</v>
      </c>
      <c r="H159" s="2">
        <v>49</v>
      </c>
      <c r="I159" s="2">
        <v>800</v>
      </c>
      <c r="J159" s="2">
        <f t="shared" si="3"/>
        <v>39200</v>
      </c>
    </row>
    <row r="160" spans="1:10" x14ac:dyDescent="0.3">
      <c r="A160" s="1">
        <v>2021</v>
      </c>
      <c r="B160" s="3" t="s">
        <v>61</v>
      </c>
      <c r="C160" s="1" t="s">
        <v>44</v>
      </c>
      <c r="D160" s="1" t="s">
        <v>76</v>
      </c>
      <c r="E160" s="1" t="s">
        <v>10</v>
      </c>
      <c r="F160" s="1" t="s">
        <v>22</v>
      </c>
      <c r="G160" s="1" t="s">
        <v>9</v>
      </c>
      <c r="H160" s="2">
        <v>6</v>
      </c>
      <c r="I160" s="2">
        <v>950</v>
      </c>
      <c r="J160" s="2">
        <f t="shared" si="3"/>
        <v>5700</v>
      </c>
    </row>
    <row r="161" spans="1:10" x14ac:dyDescent="0.3">
      <c r="A161" s="1">
        <v>2021</v>
      </c>
      <c r="B161" s="3" t="s">
        <v>61</v>
      </c>
      <c r="C161" s="1" t="s">
        <v>44</v>
      </c>
      <c r="D161" s="1" t="s">
        <v>76</v>
      </c>
      <c r="E161" s="1" t="s">
        <v>35</v>
      </c>
      <c r="F161" s="1" t="s">
        <v>11</v>
      </c>
      <c r="G161" s="1" t="s">
        <v>9</v>
      </c>
      <c r="H161" s="2" t="s">
        <v>48</v>
      </c>
      <c r="I161" s="2">
        <v>950</v>
      </c>
      <c r="J161" s="2">
        <f t="shared" si="3"/>
        <v>10450</v>
      </c>
    </row>
    <row r="162" spans="1:10" x14ac:dyDescent="0.3">
      <c r="A162" s="1">
        <v>2021</v>
      </c>
      <c r="B162" s="3" t="s">
        <v>61</v>
      </c>
      <c r="C162" s="1" t="s">
        <v>45</v>
      </c>
      <c r="D162" s="1" t="s">
        <v>93</v>
      </c>
      <c r="E162" s="1" t="s">
        <v>26</v>
      </c>
      <c r="F162" s="1" t="s">
        <v>11</v>
      </c>
      <c r="G162" s="1" t="s">
        <v>9</v>
      </c>
      <c r="H162" s="2">
        <v>44</v>
      </c>
      <c r="I162" s="2">
        <v>950</v>
      </c>
      <c r="J162" s="2">
        <f t="shared" si="3"/>
        <v>41800</v>
      </c>
    </row>
    <row r="163" spans="1:10" x14ac:dyDescent="0.3">
      <c r="A163" s="1">
        <v>2021</v>
      </c>
      <c r="B163" s="3" t="s">
        <v>61</v>
      </c>
      <c r="C163" s="1" t="s">
        <v>46</v>
      </c>
      <c r="D163" s="1" t="s">
        <v>77</v>
      </c>
      <c r="E163" s="1" t="s">
        <v>20</v>
      </c>
      <c r="F163" s="1" t="s">
        <v>17</v>
      </c>
      <c r="G163" s="1" t="s">
        <v>23</v>
      </c>
      <c r="H163" s="2">
        <v>57.564633866816401</v>
      </c>
      <c r="I163" s="2">
        <v>822.62444543927302</v>
      </c>
      <c r="J163" s="2">
        <f t="shared" si="3"/>
        <v>47354.075011604633</v>
      </c>
    </row>
    <row r="164" spans="1:10" x14ac:dyDescent="0.3">
      <c r="A164" s="1">
        <v>2021</v>
      </c>
      <c r="B164" s="3" t="s">
        <v>61</v>
      </c>
      <c r="C164" s="1" t="s">
        <v>41</v>
      </c>
      <c r="D164" s="1" t="s">
        <v>88</v>
      </c>
      <c r="E164" s="1" t="s">
        <v>19</v>
      </c>
      <c r="F164" s="1" t="s">
        <v>14</v>
      </c>
      <c r="G164" s="1" t="s">
        <v>23</v>
      </c>
      <c r="H164" s="2">
        <v>59.950698017249302</v>
      </c>
      <c r="I164" s="2">
        <v>814.12883630794602</v>
      </c>
      <c r="J164" s="2">
        <f t="shared" si="3"/>
        <v>48807.59201263226</v>
      </c>
    </row>
    <row r="165" spans="1:10" x14ac:dyDescent="0.3">
      <c r="A165" s="1">
        <v>2021</v>
      </c>
      <c r="B165" s="3" t="s">
        <v>61</v>
      </c>
      <c r="C165" s="1" t="s">
        <v>41</v>
      </c>
      <c r="D165" s="1" t="s">
        <v>88</v>
      </c>
      <c r="E165" s="1" t="s">
        <v>13</v>
      </c>
      <c r="F165" s="1" t="s">
        <v>22</v>
      </c>
      <c r="G165" s="1" t="s">
        <v>12</v>
      </c>
      <c r="H165" s="2">
        <v>75</v>
      </c>
      <c r="I165" s="2">
        <v>800</v>
      </c>
      <c r="J165" s="2">
        <f t="shared" si="3"/>
        <v>60000</v>
      </c>
    </row>
    <row r="166" spans="1:10" x14ac:dyDescent="0.3">
      <c r="A166" s="1">
        <v>2021</v>
      </c>
      <c r="B166" s="3" t="s">
        <v>61</v>
      </c>
      <c r="C166" s="1" t="s">
        <v>42</v>
      </c>
      <c r="D166" s="1" t="s">
        <v>89</v>
      </c>
      <c r="E166" s="1" t="s">
        <v>33</v>
      </c>
      <c r="F166" s="1" t="s">
        <v>17</v>
      </c>
      <c r="G166" s="1" t="s">
        <v>12</v>
      </c>
      <c r="H166" s="2">
        <v>18</v>
      </c>
      <c r="I166" s="2">
        <v>800</v>
      </c>
      <c r="J166" s="2">
        <f t="shared" si="3"/>
        <v>14400</v>
      </c>
    </row>
    <row r="167" spans="1:10" x14ac:dyDescent="0.3">
      <c r="A167" s="1">
        <v>2021</v>
      </c>
      <c r="B167" s="3" t="s">
        <v>61</v>
      </c>
      <c r="C167" s="1" t="s">
        <v>43</v>
      </c>
      <c r="D167" s="1" t="s">
        <v>79</v>
      </c>
      <c r="E167" s="1" t="s">
        <v>25</v>
      </c>
      <c r="F167" s="1" t="s">
        <v>14</v>
      </c>
      <c r="G167" s="1" t="s">
        <v>12</v>
      </c>
      <c r="H167" s="2">
        <v>62.624735639286101</v>
      </c>
      <c r="I167" s="2">
        <v>804.60789504007903</v>
      </c>
      <c r="J167" s="2">
        <f t="shared" si="3"/>
        <v>50388.356720167409</v>
      </c>
    </row>
    <row r="168" spans="1:10" x14ac:dyDescent="0.3">
      <c r="A168" s="1">
        <v>2021</v>
      </c>
      <c r="B168" s="3" t="s">
        <v>61</v>
      </c>
      <c r="C168" s="1" t="s">
        <v>44</v>
      </c>
      <c r="D168" s="1" t="s">
        <v>80</v>
      </c>
      <c r="E168" s="1" t="s">
        <v>25</v>
      </c>
      <c r="F168" s="1" t="s">
        <v>30</v>
      </c>
      <c r="G168" s="1" t="s">
        <v>15</v>
      </c>
      <c r="H168" s="2">
        <v>57</v>
      </c>
      <c r="I168" s="2">
        <v>650</v>
      </c>
      <c r="J168" s="2">
        <f t="shared" si="3"/>
        <v>37050</v>
      </c>
    </row>
    <row r="169" spans="1:10" x14ac:dyDescent="0.3">
      <c r="A169" s="1">
        <v>2021</v>
      </c>
      <c r="B169" s="3" t="s">
        <v>61</v>
      </c>
      <c r="C169" s="1" t="s">
        <v>46</v>
      </c>
      <c r="D169" s="1" t="s">
        <v>94</v>
      </c>
      <c r="E169" s="1" t="s">
        <v>20</v>
      </c>
      <c r="F169" s="1" t="s">
        <v>17</v>
      </c>
      <c r="G169" s="1" t="s">
        <v>23</v>
      </c>
      <c r="H169" s="2">
        <v>16</v>
      </c>
      <c r="I169" s="2">
        <v>1200</v>
      </c>
      <c r="J169" s="2">
        <f t="shared" si="3"/>
        <v>19200</v>
      </c>
    </row>
    <row r="170" spans="1:10" x14ac:dyDescent="0.3">
      <c r="A170" s="1">
        <v>2021</v>
      </c>
      <c r="B170" s="3" t="s">
        <v>61</v>
      </c>
      <c r="C170" s="1" t="s">
        <v>46</v>
      </c>
      <c r="D170" s="1" t="s">
        <v>94</v>
      </c>
      <c r="E170" s="1" t="s">
        <v>26</v>
      </c>
      <c r="F170" s="1" t="s">
        <v>17</v>
      </c>
      <c r="G170" s="1" t="s">
        <v>9</v>
      </c>
      <c r="H170" s="2">
        <v>45</v>
      </c>
      <c r="I170" s="2">
        <v>820</v>
      </c>
      <c r="J170" s="2">
        <f t="shared" si="3"/>
        <v>36900</v>
      </c>
    </row>
    <row r="171" spans="1:10" x14ac:dyDescent="0.3">
      <c r="A171" s="1">
        <v>2021</v>
      </c>
      <c r="B171" s="3" t="s">
        <v>62</v>
      </c>
      <c r="C171" s="1" t="s">
        <v>42</v>
      </c>
      <c r="D171" s="1" t="s">
        <v>67</v>
      </c>
      <c r="E171" s="1" t="s">
        <v>21</v>
      </c>
      <c r="F171" s="1" t="s">
        <v>8</v>
      </c>
      <c r="G171" s="1" t="s">
        <v>9</v>
      </c>
      <c r="H171" s="2">
        <v>13</v>
      </c>
      <c r="I171" s="2">
        <v>820</v>
      </c>
      <c r="J171" s="2">
        <f t="shared" si="3"/>
        <v>10660</v>
      </c>
    </row>
    <row r="172" spans="1:10" x14ac:dyDescent="0.3">
      <c r="A172" s="1">
        <v>2021</v>
      </c>
      <c r="B172" s="3" t="s">
        <v>62</v>
      </c>
      <c r="C172" s="1" t="s">
        <v>41</v>
      </c>
      <c r="D172" s="1" t="s">
        <v>91</v>
      </c>
      <c r="E172" s="1" t="s">
        <v>7</v>
      </c>
      <c r="F172" s="1" t="s">
        <v>8</v>
      </c>
      <c r="G172" s="1" t="s">
        <v>31</v>
      </c>
      <c r="H172" s="2">
        <v>98</v>
      </c>
      <c r="I172" s="2">
        <v>450</v>
      </c>
      <c r="J172" s="2">
        <f t="shared" si="3"/>
        <v>44100</v>
      </c>
    </row>
    <row r="173" spans="1:10" x14ac:dyDescent="0.3">
      <c r="A173" s="1">
        <v>2021</v>
      </c>
      <c r="B173" s="3" t="s">
        <v>62</v>
      </c>
      <c r="C173" s="1" t="s">
        <v>42</v>
      </c>
      <c r="D173" s="1" t="s">
        <v>67</v>
      </c>
      <c r="E173" s="1" t="s">
        <v>33</v>
      </c>
      <c r="F173" s="1" t="s">
        <v>22</v>
      </c>
      <c r="G173" s="1" t="s">
        <v>9</v>
      </c>
      <c r="H173" s="2">
        <v>37</v>
      </c>
      <c r="I173" s="2">
        <v>820</v>
      </c>
      <c r="J173" s="2">
        <f t="shared" si="3"/>
        <v>30340</v>
      </c>
    </row>
    <row r="174" spans="1:10" x14ac:dyDescent="0.3">
      <c r="A174" s="1">
        <v>2021</v>
      </c>
      <c r="B174" s="3" t="s">
        <v>62</v>
      </c>
      <c r="C174" s="1" t="s">
        <v>42</v>
      </c>
      <c r="D174" s="1" t="s">
        <v>67</v>
      </c>
      <c r="E174" s="1" t="s">
        <v>24</v>
      </c>
      <c r="F174" s="1" t="s">
        <v>30</v>
      </c>
      <c r="G174" s="1" t="s">
        <v>31</v>
      </c>
      <c r="H174" s="2">
        <v>75</v>
      </c>
      <c r="I174" s="2">
        <v>450</v>
      </c>
      <c r="J174" s="2">
        <f t="shared" si="3"/>
        <v>33750</v>
      </c>
    </row>
    <row r="175" spans="1:10" x14ac:dyDescent="0.3">
      <c r="A175" s="1">
        <v>2021</v>
      </c>
      <c r="B175" s="3" t="s">
        <v>62</v>
      </c>
      <c r="C175" s="1" t="s">
        <v>44</v>
      </c>
      <c r="D175" s="1" t="s">
        <v>68</v>
      </c>
      <c r="E175" s="1" t="s">
        <v>29</v>
      </c>
      <c r="F175" s="1" t="s">
        <v>11</v>
      </c>
      <c r="G175" s="1" t="s">
        <v>23</v>
      </c>
      <c r="H175" s="2">
        <v>54</v>
      </c>
      <c r="I175" s="2">
        <v>1200</v>
      </c>
      <c r="J175" s="2">
        <f t="shared" si="3"/>
        <v>64800</v>
      </c>
    </row>
    <row r="176" spans="1:10" x14ac:dyDescent="0.3">
      <c r="A176" s="1">
        <v>2021</v>
      </c>
      <c r="B176" s="3" t="s">
        <v>62</v>
      </c>
      <c r="C176" s="1" t="s">
        <v>46</v>
      </c>
      <c r="D176" s="1" t="s">
        <v>69</v>
      </c>
      <c r="E176" s="1" t="s">
        <v>21</v>
      </c>
      <c r="F176" s="1" t="s">
        <v>14</v>
      </c>
      <c r="G176" s="1" t="s">
        <v>12</v>
      </c>
      <c r="H176" s="2">
        <v>81</v>
      </c>
      <c r="I176" s="2">
        <v>800</v>
      </c>
      <c r="J176" s="2">
        <f t="shared" si="3"/>
        <v>64800</v>
      </c>
    </row>
    <row r="177" spans="1:10" x14ac:dyDescent="0.3">
      <c r="A177" s="1">
        <v>2021</v>
      </c>
      <c r="B177" s="3" t="s">
        <v>62</v>
      </c>
      <c r="C177" s="1" t="s">
        <v>41</v>
      </c>
      <c r="D177" s="1" t="s">
        <v>83</v>
      </c>
      <c r="E177" s="1" t="s">
        <v>37</v>
      </c>
      <c r="F177" s="1" t="s">
        <v>30</v>
      </c>
      <c r="G177" s="1" t="s">
        <v>12</v>
      </c>
      <c r="H177" s="2">
        <v>52</v>
      </c>
      <c r="I177" s="2">
        <v>800</v>
      </c>
      <c r="J177" s="2">
        <f t="shared" si="3"/>
        <v>41600</v>
      </c>
    </row>
    <row r="178" spans="1:10" x14ac:dyDescent="0.3">
      <c r="A178" s="1">
        <v>2021</v>
      </c>
      <c r="B178" s="3" t="s">
        <v>62</v>
      </c>
      <c r="C178" s="1" t="s">
        <v>42</v>
      </c>
      <c r="D178" s="1" t="s">
        <v>84</v>
      </c>
      <c r="E178" s="1" t="s">
        <v>16</v>
      </c>
      <c r="F178" s="1" t="s">
        <v>11</v>
      </c>
      <c r="G178" s="1" t="s">
        <v>12</v>
      </c>
      <c r="H178" s="2">
        <v>70</v>
      </c>
      <c r="I178" s="2">
        <v>800</v>
      </c>
      <c r="J178" s="2">
        <f t="shared" si="3"/>
        <v>56000</v>
      </c>
    </row>
    <row r="179" spans="1:10" x14ac:dyDescent="0.3">
      <c r="A179" s="1">
        <v>2021</v>
      </c>
      <c r="B179" s="3" t="s">
        <v>62</v>
      </c>
      <c r="C179" s="1" t="s">
        <v>42</v>
      </c>
      <c r="D179" s="1" t="s">
        <v>84</v>
      </c>
      <c r="E179" s="1" t="s">
        <v>25</v>
      </c>
      <c r="F179" s="1" t="s">
        <v>17</v>
      </c>
      <c r="G179" s="1" t="s">
        <v>23</v>
      </c>
      <c r="H179" s="2">
        <v>6</v>
      </c>
      <c r="I179" s="2">
        <v>1200</v>
      </c>
      <c r="J179" s="2">
        <f t="shared" si="3"/>
        <v>7200</v>
      </c>
    </row>
    <row r="180" spans="1:10" x14ac:dyDescent="0.3">
      <c r="A180" s="1">
        <v>2021</v>
      </c>
      <c r="B180" s="3" t="s">
        <v>62</v>
      </c>
      <c r="C180" s="1" t="s">
        <v>44</v>
      </c>
      <c r="D180" s="1" t="s">
        <v>70</v>
      </c>
      <c r="E180" s="1" t="s">
        <v>25</v>
      </c>
      <c r="F180" s="1" t="s">
        <v>8</v>
      </c>
      <c r="G180" s="1" t="s">
        <v>9</v>
      </c>
      <c r="H180" s="2">
        <v>63.735489686903399</v>
      </c>
      <c r="I180" s="2">
        <v>800.65304251342695</v>
      </c>
      <c r="J180" s="2">
        <f t="shared" si="3"/>
        <v>51030.013733902349</v>
      </c>
    </row>
    <row r="181" spans="1:10" x14ac:dyDescent="0.3">
      <c r="A181" s="1">
        <v>2021</v>
      </c>
      <c r="B181" s="3" t="s">
        <v>62</v>
      </c>
      <c r="C181" s="1" t="s">
        <v>44</v>
      </c>
      <c r="D181" s="1" t="s">
        <v>70</v>
      </c>
      <c r="E181" s="1" t="s">
        <v>33</v>
      </c>
      <c r="F181" s="1" t="s">
        <v>14</v>
      </c>
      <c r="G181" s="1" t="s">
        <v>15</v>
      </c>
      <c r="H181" s="2">
        <v>78</v>
      </c>
      <c r="I181" s="2">
        <v>650</v>
      </c>
      <c r="J181" s="2">
        <f t="shared" si="3"/>
        <v>50700</v>
      </c>
    </row>
    <row r="182" spans="1:10" x14ac:dyDescent="0.3">
      <c r="A182" s="1">
        <v>2021</v>
      </c>
      <c r="B182" s="3" t="s">
        <v>62</v>
      </c>
      <c r="C182" s="1" t="s">
        <v>46</v>
      </c>
      <c r="D182" s="1" t="s">
        <v>71</v>
      </c>
      <c r="E182" s="1" t="s">
        <v>33</v>
      </c>
      <c r="F182" s="1" t="s">
        <v>11</v>
      </c>
      <c r="G182" s="1" t="s">
        <v>12</v>
      </c>
      <c r="H182" s="2">
        <v>58</v>
      </c>
      <c r="I182" s="2">
        <v>800</v>
      </c>
      <c r="J182" s="2">
        <f t="shared" si="3"/>
        <v>46400</v>
      </c>
    </row>
    <row r="183" spans="1:10" x14ac:dyDescent="0.3">
      <c r="A183" s="1">
        <v>2021</v>
      </c>
      <c r="B183" s="3" t="s">
        <v>62</v>
      </c>
      <c r="C183" s="1" t="s">
        <v>41</v>
      </c>
      <c r="D183" s="1" t="s">
        <v>72</v>
      </c>
      <c r="E183" s="1" t="s">
        <v>13</v>
      </c>
      <c r="F183" s="1" t="s">
        <v>30</v>
      </c>
      <c r="G183" s="1" t="s">
        <v>31</v>
      </c>
      <c r="H183" s="2" t="s">
        <v>50</v>
      </c>
      <c r="I183" s="2">
        <v>450</v>
      </c>
      <c r="J183" s="2">
        <f t="shared" si="3"/>
        <v>7200</v>
      </c>
    </row>
    <row r="184" spans="1:10" x14ac:dyDescent="0.3">
      <c r="A184" s="1">
        <v>2021</v>
      </c>
      <c r="B184" s="3" t="s">
        <v>62</v>
      </c>
      <c r="C184" s="1" t="s">
        <v>42</v>
      </c>
      <c r="D184" s="1" t="s">
        <v>73</v>
      </c>
      <c r="E184" s="1" t="s">
        <v>16</v>
      </c>
      <c r="F184" s="1" t="s">
        <v>30</v>
      </c>
      <c r="G184" s="1" t="s">
        <v>12</v>
      </c>
      <c r="H184" s="2">
        <v>65.627885471727495</v>
      </c>
      <c r="I184" s="2">
        <v>793.91514561616805</v>
      </c>
      <c r="J184" s="2">
        <f t="shared" si="3"/>
        <v>52102.972250767736</v>
      </c>
    </row>
    <row r="185" spans="1:10" x14ac:dyDescent="0.3">
      <c r="A185" s="1">
        <v>2021</v>
      </c>
      <c r="B185" s="3" t="s">
        <v>62</v>
      </c>
      <c r="C185" s="1" t="s">
        <v>42</v>
      </c>
      <c r="D185" s="1" t="s">
        <v>73</v>
      </c>
      <c r="E185" s="1" t="s">
        <v>13</v>
      </c>
      <c r="F185" s="1" t="s">
        <v>30</v>
      </c>
      <c r="G185" s="1" t="s">
        <v>9</v>
      </c>
      <c r="H185" s="2">
        <v>125</v>
      </c>
      <c r="I185" s="2">
        <v>820</v>
      </c>
      <c r="J185" s="2">
        <f t="shared" si="3"/>
        <v>102500</v>
      </c>
    </row>
    <row r="186" spans="1:10" x14ac:dyDescent="0.3">
      <c r="A186" s="1">
        <v>2021</v>
      </c>
      <c r="B186" s="3" t="s">
        <v>62</v>
      </c>
      <c r="C186" s="1" t="s">
        <v>43</v>
      </c>
      <c r="D186" s="1" t="s">
        <v>74</v>
      </c>
      <c r="E186" s="1" t="s">
        <v>21</v>
      </c>
      <c r="F186" s="1" t="s">
        <v>14</v>
      </c>
      <c r="G186" s="1" t="s">
        <v>31</v>
      </c>
      <c r="H186" s="2">
        <v>71</v>
      </c>
      <c r="I186" s="2">
        <v>450</v>
      </c>
      <c r="J186" s="2">
        <f t="shared" si="3"/>
        <v>31950</v>
      </c>
    </row>
    <row r="187" spans="1:10" x14ac:dyDescent="0.3">
      <c r="A187" s="1">
        <v>2021</v>
      </c>
      <c r="B187" s="3" t="s">
        <v>62</v>
      </c>
      <c r="C187" s="1" t="s">
        <v>44</v>
      </c>
      <c r="D187" s="1" t="s">
        <v>86</v>
      </c>
      <c r="E187" s="1" t="s">
        <v>28</v>
      </c>
      <c r="F187" s="1" t="s">
        <v>14</v>
      </c>
      <c r="G187" s="1" t="s">
        <v>12</v>
      </c>
      <c r="H187" s="2">
        <v>29</v>
      </c>
      <c r="I187" s="2">
        <v>800</v>
      </c>
      <c r="J187" s="2">
        <f t="shared" si="3"/>
        <v>23200</v>
      </c>
    </row>
    <row r="188" spans="1:10" x14ac:dyDescent="0.3">
      <c r="A188" s="1">
        <v>2021</v>
      </c>
      <c r="B188" s="3" t="s">
        <v>62</v>
      </c>
      <c r="C188" s="1" t="s">
        <v>46</v>
      </c>
      <c r="D188" s="1" t="s">
        <v>75</v>
      </c>
      <c r="E188" s="1" t="s">
        <v>20</v>
      </c>
      <c r="F188" s="1" t="s">
        <v>11</v>
      </c>
      <c r="G188" s="1" t="s">
        <v>12</v>
      </c>
      <c r="H188" s="2">
        <v>58.757665992032898</v>
      </c>
      <c r="I188" s="2">
        <v>818.37664087360997</v>
      </c>
      <c r="J188" s="2">
        <f t="shared" si="3"/>
        <v>48085.901320133431</v>
      </c>
    </row>
    <row r="189" spans="1:10" x14ac:dyDescent="0.3">
      <c r="A189" s="1">
        <v>2021</v>
      </c>
      <c r="B189" s="3" t="s">
        <v>62</v>
      </c>
      <c r="C189" s="1" t="s">
        <v>43</v>
      </c>
      <c r="D189" s="1" t="s">
        <v>78</v>
      </c>
      <c r="E189" s="1" t="s">
        <v>24</v>
      </c>
      <c r="F189" s="1" t="s">
        <v>22</v>
      </c>
      <c r="G189" s="1" t="s">
        <v>12</v>
      </c>
      <c r="H189" s="2">
        <v>126</v>
      </c>
      <c r="I189" s="2">
        <v>800</v>
      </c>
      <c r="J189" s="2">
        <f t="shared" si="3"/>
        <v>100800</v>
      </c>
    </row>
    <row r="190" spans="1:10" x14ac:dyDescent="0.3">
      <c r="A190" s="1">
        <v>2021</v>
      </c>
      <c r="B190" s="3" t="s">
        <v>62</v>
      </c>
      <c r="C190" s="1" t="s">
        <v>44</v>
      </c>
      <c r="D190" s="1" t="s">
        <v>88</v>
      </c>
      <c r="E190" s="1" t="s">
        <v>36</v>
      </c>
      <c r="F190" s="1" t="s">
        <v>30</v>
      </c>
      <c r="G190" s="1" t="s">
        <v>31</v>
      </c>
      <c r="H190" s="2">
        <v>31</v>
      </c>
      <c r="I190" s="2">
        <v>450</v>
      </c>
      <c r="J190" s="2">
        <f t="shared" si="3"/>
        <v>13950</v>
      </c>
    </row>
    <row r="191" spans="1:10" x14ac:dyDescent="0.3">
      <c r="A191" s="1">
        <v>2021</v>
      </c>
      <c r="B191" s="3" t="s">
        <v>62</v>
      </c>
      <c r="C191" s="1" t="s">
        <v>45</v>
      </c>
      <c r="D191" s="1" t="s">
        <v>89</v>
      </c>
      <c r="E191" s="1" t="s">
        <v>18</v>
      </c>
      <c r="F191" s="1" t="s">
        <v>14</v>
      </c>
      <c r="G191" s="1" t="s">
        <v>9</v>
      </c>
      <c r="H191" s="2">
        <v>57</v>
      </c>
      <c r="I191" s="2">
        <v>820</v>
      </c>
      <c r="J191" s="2">
        <f t="shared" si="3"/>
        <v>46740</v>
      </c>
    </row>
    <row r="192" spans="1:10" x14ac:dyDescent="0.3">
      <c r="A192" s="1">
        <v>2021</v>
      </c>
      <c r="B192" s="3" t="s">
        <v>62</v>
      </c>
      <c r="C192" s="1" t="s">
        <v>45</v>
      </c>
      <c r="D192" s="1" t="s">
        <v>89</v>
      </c>
      <c r="E192" s="1" t="s">
        <v>24</v>
      </c>
      <c r="F192" s="1" t="s">
        <v>22</v>
      </c>
      <c r="G192" s="1" t="s">
        <v>9</v>
      </c>
      <c r="H192" s="2">
        <v>36</v>
      </c>
      <c r="I192" s="2">
        <v>820</v>
      </c>
      <c r="J192" s="2">
        <f t="shared" si="3"/>
        <v>29520</v>
      </c>
    </row>
    <row r="193" spans="1:10" x14ac:dyDescent="0.3">
      <c r="A193" s="1">
        <v>2021</v>
      </c>
      <c r="B193" s="3" t="s">
        <v>62</v>
      </c>
      <c r="C193" s="1" t="s">
        <v>42</v>
      </c>
      <c r="D193" s="1" t="s">
        <v>94</v>
      </c>
      <c r="E193" s="1" t="s">
        <v>20</v>
      </c>
      <c r="F193" s="1" t="s">
        <v>14</v>
      </c>
      <c r="G193" s="1" t="s">
        <v>12</v>
      </c>
      <c r="H193" s="2">
        <v>107</v>
      </c>
      <c r="I193" s="2">
        <v>800</v>
      </c>
      <c r="J193" s="2">
        <f t="shared" si="3"/>
        <v>85600</v>
      </c>
    </row>
    <row r="194" spans="1:10" x14ac:dyDescent="0.3">
      <c r="A194" s="1">
        <v>2021</v>
      </c>
      <c r="B194" s="3" t="s">
        <v>62</v>
      </c>
      <c r="C194" s="1" t="s">
        <v>42</v>
      </c>
      <c r="D194" s="1" t="s">
        <v>94</v>
      </c>
      <c r="E194" s="1" t="s">
        <v>10</v>
      </c>
      <c r="F194" s="1" t="s">
        <v>22</v>
      </c>
      <c r="G194" s="1" t="s">
        <v>12</v>
      </c>
      <c r="H194" s="2">
        <v>12</v>
      </c>
      <c r="I194" s="2">
        <v>800</v>
      </c>
      <c r="J194" s="2">
        <f t="shared" ref="J194:J257" si="4">H194*I194</f>
        <v>9600</v>
      </c>
    </row>
    <row r="195" spans="1:10" x14ac:dyDescent="0.3">
      <c r="A195" s="1">
        <v>2021</v>
      </c>
      <c r="B195" s="3" t="s">
        <v>63</v>
      </c>
      <c r="C195" s="1" t="s">
        <v>45</v>
      </c>
      <c r="D195" s="1" t="s">
        <v>67</v>
      </c>
      <c r="E195" s="1" t="s">
        <v>32</v>
      </c>
      <c r="F195" s="1" t="s">
        <v>11</v>
      </c>
      <c r="G195" s="1" t="s">
        <v>12</v>
      </c>
      <c r="H195" s="2">
        <v>141</v>
      </c>
      <c r="I195" s="2">
        <v>800</v>
      </c>
      <c r="J195" s="2">
        <f t="shared" si="4"/>
        <v>112800</v>
      </c>
    </row>
    <row r="196" spans="1:10" x14ac:dyDescent="0.3">
      <c r="A196" s="1">
        <v>2021</v>
      </c>
      <c r="B196" s="3" t="s">
        <v>63</v>
      </c>
      <c r="C196" s="1" t="s">
        <v>44</v>
      </c>
      <c r="D196" s="1" t="s">
        <v>91</v>
      </c>
      <c r="E196" s="1" t="s">
        <v>27</v>
      </c>
      <c r="F196" s="1" t="s">
        <v>30</v>
      </c>
      <c r="G196" s="1" t="s">
        <v>12</v>
      </c>
      <c r="H196" s="2">
        <v>65.175356044921301</v>
      </c>
      <c r="I196" s="2">
        <v>795.52638183072997</v>
      </c>
      <c r="J196" s="2">
        <f t="shared" si="4"/>
        <v>51848.715178945837</v>
      </c>
    </row>
    <row r="197" spans="1:10" x14ac:dyDescent="0.3">
      <c r="A197" s="1">
        <v>2021</v>
      </c>
      <c r="B197" s="3" t="s">
        <v>63</v>
      </c>
      <c r="C197" s="1" t="s">
        <v>45</v>
      </c>
      <c r="D197" s="1" t="s">
        <v>67</v>
      </c>
      <c r="E197" s="1" t="s">
        <v>32</v>
      </c>
      <c r="F197" s="1" t="s">
        <v>11</v>
      </c>
      <c r="G197" s="1" t="s">
        <v>12</v>
      </c>
      <c r="H197" s="2">
        <v>150</v>
      </c>
      <c r="I197" s="2">
        <v>800</v>
      </c>
      <c r="J197" s="2">
        <f t="shared" si="4"/>
        <v>120000</v>
      </c>
    </row>
    <row r="198" spans="1:10" x14ac:dyDescent="0.3">
      <c r="A198" s="1">
        <v>2021</v>
      </c>
      <c r="B198" s="3" t="s">
        <v>63</v>
      </c>
      <c r="C198" s="1" t="s">
        <v>46</v>
      </c>
      <c r="D198" s="1" t="s">
        <v>81</v>
      </c>
      <c r="E198" s="1" t="s">
        <v>28</v>
      </c>
      <c r="F198" s="1" t="s">
        <v>11</v>
      </c>
      <c r="G198" s="1" t="s">
        <v>9</v>
      </c>
      <c r="H198" s="2">
        <v>35</v>
      </c>
      <c r="I198" s="2">
        <v>950</v>
      </c>
      <c r="J198" s="2">
        <f t="shared" si="4"/>
        <v>33250</v>
      </c>
    </row>
    <row r="199" spans="1:10" x14ac:dyDescent="0.3">
      <c r="A199" s="1">
        <v>2021</v>
      </c>
      <c r="B199" s="3" t="s">
        <v>63</v>
      </c>
      <c r="C199" s="1" t="s">
        <v>47</v>
      </c>
      <c r="D199" s="1" t="s">
        <v>68</v>
      </c>
      <c r="E199" s="1" t="s">
        <v>10</v>
      </c>
      <c r="F199" s="1" t="s">
        <v>22</v>
      </c>
      <c r="G199" s="1" t="s">
        <v>12</v>
      </c>
      <c r="H199" s="2">
        <v>6</v>
      </c>
      <c r="I199" s="2">
        <v>800</v>
      </c>
      <c r="J199" s="2">
        <f t="shared" si="4"/>
        <v>4800</v>
      </c>
    </row>
    <row r="200" spans="1:10" x14ac:dyDescent="0.3">
      <c r="A200" s="1">
        <v>2021</v>
      </c>
      <c r="B200" s="3" t="s">
        <v>63</v>
      </c>
      <c r="C200" s="1" t="s">
        <v>42</v>
      </c>
      <c r="D200" s="1" t="s">
        <v>69</v>
      </c>
      <c r="E200" s="1" t="s">
        <v>18</v>
      </c>
      <c r="F200" s="1" t="s">
        <v>17</v>
      </c>
      <c r="G200" s="1" t="s">
        <v>12</v>
      </c>
      <c r="H200" s="2">
        <v>6</v>
      </c>
      <c r="I200" s="2">
        <v>800</v>
      </c>
      <c r="J200" s="2">
        <f>H202*I202</f>
        <v>14400</v>
      </c>
    </row>
    <row r="201" spans="1:10" x14ac:dyDescent="0.3">
      <c r="A201" s="1">
        <v>2021</v>
      </c>
      <c r="B201" s="3" t="s">
        <v>63</v>
      </c>
      <c r="C201" s="1" t="s">
        <v>42</v>
      </c>
      <c r="D201" s="1" t="s">
        <v>69</v>
      </c>
      <c r="E201" s="1" t="s">
        <v>13</v>
      </c>
      <c r="F201" s="1" t="s">
        <v>11</v>
      </c>
      <c r="G201" s="1" t="s">
        <v>31</v>
      </c>
      <c r="H201" s="2">
        <v>6</v>
      </c>
      <c r="I201" s="2">
        <v>450</v>
      </c>
      <c r="J201" s="2">
        <f t="shared" si="4"/>
        <v>2700</v>
      </c>
    </row>
    <row r="202" spans="1:10" x14ac:dyDescent="0.3">
      <c r="A202" s="1">
        <v>2021</v>
      </c>
      <c r="B202" s="3" t="s">
        <v>63</v>
      </c>
      <c r="C202" s="1" t="s">
        <v>43</v>
      </c>
      <c r="D202" s="1" t="s">
        <v>82</v>
      </c>
      <c r="E202" s="1" t="s">
        <v>19</v>
      </c>
      <c r="F202" s="1" t="s">
        <v>8</v>
      </c>
      <c r="G202" s="1" t="s">
        <v>12</v>
      </c>
      <c r="H202" s="2">
        <v>18</v>
      </c>
      <c r="I202" s="2">
        <v>800</v>
      </c>
      <c r="J202" s="2">
        <f t="shared" si="4"/>
        <v>14400</v>
      </c>
    </row>
    <row r="203" spans="1:10" x14ac:dyDescent="0.3">
      <c r="A203" s="1">
        <v>2021</v>
      </c>
      <c r="B203" s="3" t="s">
        <v>63</v>
      </c>
      <c r="C203" s="1" t="s">
        <v>43</v>
      </c>
      <c r="D203" s="1" t="s">
        <v>82</v>
      </c>
      <c r="E203" s="1" t="s">
        <v>29</v>
      </c>
      <c r="F203" s="1" t="s">
        <v>8</v>
      </c>
      <c r="G203" s="1" t="s">
        <v>12</v>
      </c>
      <c r="H203" s="2">
        <v>32</v>
      </c>
      <c r="I203" s="2">
        <v>800</v>
      </c>
      <c r="J203" s="2">
        <f t="shared" si="4"/>
        <v>25600</v>
      </c>
    </row>
    <row r="204" spans="1:10" x14ac:dyDescent="0.3">
      <c r="A204" s="1">
        <v>2021</v>
      </c>
      <c r="B204" s="3" t="s">
        <v>63</v>
      </c>
      <c r="C204" s="1" t="s">
        <v>44</v>
      </c>
      <c r="D204" s="1" t="s">
        <v>83</v>
      </c>
      <c r="E204" s="1" t="s">
        <v>19</v>
      </c>
      <c r="F204" s="1" t="s">
        <v>8</v>
      </c>
      <c r="G204" s="1" t="s">
        <v>15</v>
      </c>
      <c r="H204" s="2">
        <v>90</v>
      </c>
      <c r="I204" s="2">
        <v>650</v>
      </c>
      <c r="J204" s="2">
        <f t="shared" si="4"/>
        <v>58500</v>
      </c>
    </row>
    <row r="205" spans="1:10" x14ac:dyDescent="0.3">
      <c r="A205" s="1">
        <v>2021</v>
      </c>
      <c r="B205" s="3" t="s">
        <v>63</v>
      </c>
      <c r="C205" s="1" t="s">
        <v>45</v>
      </c>
      <c r="D205" s="1" t="s">
        <v>84</v>
      </c>
      <c r="E205" s="1" t="s">
        <v>16</v>
      </c>
      <c r="F205" s="1" t="s">
        <v>22</v>
      </c>
      <c r="G205" s="1" t="s">
        <v>15</v>
      </c>
      <c r="H205" s="2">
        <v>56.083628469996</v>
      </c>
      <c r="I205" s="2">
        <v>827.89758214147605</v>
      </c>
      <c r="J205" s="2">
        <f t="shared" si="4"/>
        <v>46431.500408030537</v>
      </c>
    </row>
    <row r="206" spans="1:10" x14ac:dyDescent="0.3">
      <c r="A206" s="1">
        <v>2021</v>
      </c>
      <c r="B206" s="3" t="s">
        <v>63</v>
      </c>
      <c r="C206" s="1" t="s">
        <v>43</v>
      </c>
      <c r="D206" s="1" t="s">
        <v>49</v>
      </c>
      <c r="E206" s="1" t="s">
        <v>20</v>
      </c>
      <c r="F206" s="1" t="s">
        <v>14</v>
      </c>
      <c r="G206" s="1" t="s">
        <v>12</v>
      </c>
      <c r="H206" s="2">
        <v>7</v>
      </c>
      <c r="I206" s="2">
        <v>800</v>
      </c>
      <c r="J206" s="2">
        <f t="shared" si="4"/>
        <v>5600</v>
      </c>
    </row>
    <row r="207" spans="1:10" x14ac:dyDescent="0.3">
      <c r="A207" s="1">
        <v>2021</v>
      </c>
      <c r="B207" s="3" t="s">
        <v>63</v>
      </c>
      <c r="C207" s="1" t="s">
        <v>43</v>
      </c>
      <c r="D207" s="1" t="s">
        <v>49</v>
      </c>
      <c r="E207" s="1" t="s">
        <v>19</v>
      </c>
      <c r="F207" s="1" t="s">
        <v>30</v>
      </c>
      <c r="G207" s="1" t="s">
        <v>12</v>
      </c>
      <c r="H207" s="2">
        <v>61.3494254364686</v>
      </c>
      <c r="I207" s="2">
        <v>809.14865164475395</v>
      </c>
      <c r="J207" s="2">
        <f t="shared" si="4"/>
        <v>49640.804871098939</v>
      </c>
    </row>
    <row r="208" spans="1:10" x14ac:dyDescent="0.3">
      <c r="A208" s="1">
        <v>2021</v>
      </c>
      <c r="B208" s="3" t="s">
        <v>63</v>
      </c>
      <c r="C208" s="1" t="s">
        <v>43</v>
      </c>
      <c r="D208" s="1" t="s">
        <v>49</v>
      </c>
      <c r="E208" s="1" t="s">
        <v>21</v>
      </c>
      <c r="F208" s="1" t="s">
        <v>8</v>
      </c>
      <c r="G208" s="1" t="s">
        <v>15</v>
      </c>
      <c r="H208" s="2">
        <v>42</v>
      </c>
      <c r="I208" s="2">
        <v>650</v>
      </c>
      <c r="J208" s="2">
        <f t="shared" si="4"/>
        <v>27300</v>
      </c>
    </row>
    <row r="209" spans="1:10" x14ac:dyDescent="0.3">
      <c r="A209" s="1">
        <v>2021</v>
      </c>
      <c r="B209" s="3" t="s">
        <v>63</v>
      </c>
      <c r="C209" s="1" t="s">
        <v>41</v>
      </c>
      <c r="D209" s="1" t="s">
        <v>85</v>
      </c>
      <c r="E209" s="1" t="s">
        <v>10</v>
      </c>
      <c r="F209" s="1" t="s">
        <v>30</v>
      </c>
      <c r="G209" s="1" t="s">
        <v>12</v>
      </c>
      <c r="H209" s="2">
        <v>197</v>
      </c>
      <c r="I209" s="2">
        <v>800</v>
      </c>
      <c r="J209" s="2">
        <f t="shared" si="4"/>
        <v>157600</v>
      </c>
    </row>
    <row r="210" spans="1:10" x14ac:dyDescent="0.3">
      <c r="A210" s="1">
        <v>2021</v>
      </c>
      <c r="B210" s="3" t="s">
        <v>63</v>
      </c>
      <c r="C210" s="1" t="s">
        <v>42</v>
      </c>
      <c r="D210" s="1" t="s">
        <v>85</v>
      </c>
      <c r="E210" s="1" t="s">
        <v>29</v>
      </c>
      <c r="F210" s="1" t="s">
        <v>11</v>
      </c>
      <c r="G210" s="1" t="s">
        <v>23</v>
      </c>
      <c r="H210" s="2">
        <v>176</v>
      </c>
      <c r="I210" s="2">
        <v>1200</v>
      </c>
      <c r="J210" s="2">
        <f>H200*I200</f>
        <v>4800</v>
      </c>
    </row>
    <row r="211" spans="1:10" x14ac:dyDescent="0.3">
      <c r="A211" s="1">
        <v>2021</v>
      </c>
      <c r="B211" s="3" t="s">
        <v>63</v>
      </c>
      <c r="C211" s="1" t="s">
        <v>43</v>
      </c>
      <c r="D211" s="1" t="s">
        <v>95</v>
      </c>
      <c r="E211" s="1" t="s">
        <v>16</v>
      </c>
      <c r="F211" s="1" t="s">
        <v>14</v>
      </c>
      <c r="G211" s="1" t="s">
        <v>23</v>
      </c>
      <c r="H211" s="2">
        <v>57.029826362409104</v>
      </c>
      <c r="I211" s="2">
        <v>824.52863369284603</v>
      </c>
      <c r="J211" s="2">
        <f t="shared" si="4"/>
        <v>47022.72481033743</v>
      </c>
    </row>
    <row r="212" spans="1:10" x14ac:dyDescent="0.3">
      <c r="A212" s="1">
        <v>2021</v>
      </c>
      <c r="B212" s="3" t="s">
        <v>63</v>
      </c>
      <c r="C212" s="1" t="s">
        <v>44</v>
      </c>
      <c r="D212" s="1" t="s">
        <v>72</v>
      </c>
      <c r="E212" s="1" t="s">
        <v>21</v>
      </c>
      <c r="F212" s="1" t="s">
        <v>11</v>
      </c>
      <c r="G212" s="1" t="s">
        <v>23</v>
      </c>
      <c r="H212" s="2">
        <v>41</v>
      </c>
      <c r="I212" s="2">
        <v>1200</v>
      </c>
      <c r="J212" s="2">
        <f t="shared" si="4"/>
        <v>49200</v>
      </c>
    </row>
    <row r="213" spans="1:10" x14ac:dyDescent="0.3">
      <c r="A213" s="1">
        <v>2021</v>
      </c>
      <c r="B213" s="3" t="s">
        <v>63</v>
      </c>
      <c r="C213" s="1" t="s">
        <v>44</v>
      </c>
      <c r="D213" s="1" t="s">
        <v>72</v>
      </c>
      <c r="E213" s="1" t="s">
        <v>34</v>
      </c>
      <c r="F213" s="1" t="s">
        <v>14</v>
      </c>
      <c r="G213" s="1" t="s">
        <v>9</v>
      </c>
      <c r="H213" s="2">
        <v>70</v>
      </c>
      <c r="I213" s="2">
        <v>820</v>
      </c>
      <c r="J213" s="2">
        <f t="shared" si="4"/>
        <v>57400</v>
      </c>
    </row>
    <row r="214" spans="1:10" x14ac:dyDescent="0.3">
      <c r="A214" s="1">
        <v>2021</v>
      </c>
      <c r="B214" s="3" t="s">
        <v>63</v>
      </c>
      <c r="C214" s="1" t="s">
        <v>47</v>
      </c>
      <c r="D214" s="1" t="s">
        <v>86</v>
      </c>
      <c r="E214" s="1" t="s">
        <v>28</v>
      </c>
      <c r="F214" s="1" t="s">
        <v>14</v>
      </c>
      <c r="G214" s="1" t="s">
        <v>31</v>
      </c>
      <c r="H214" s="2">
        <v>36</v>
      </c>
      <c r="I214" s="2">
        <v>450</v>
      </c>
      <c r="J214" s="2">
        <f t="shared" si="4"/>
        <v>16200</v>
      </c>
    </row>
    <row r="215" spans="1:10" x14ac:dyDescent="0.3">
      <c r="A215" s="1">
        <v>2021</v>
      </c>
      <c r="B215" s="3" t="s">
        <v>63</v>
      </c>
      <c r="C215" s="1" t="s">
        <v>41</v>
      </c>
      <c r="D215" s="1" t="s">
        <v>87</v>
      </c>
      <c r="E215" s="1" t="s">
        <v>20</v>
      </c>
      <c r="F215" s="1" t="s">
        <v>30</v>
      </c>
      <c r="G215" s="1" t="s">
        <v>23</v>
      </c>
      <c r="H215" s="2">
        <v>161</v>
      </c>
      <c r="I215" s="2">
        <v>1200</v>
      </c>
      <c r="J215" s="2">
        <f t="shared" si="4"/>
        <v>193200</v>
      </c>
    </row>
    <row r="216" spans="1:10" x14ac:dyDescent="0.3">
      <c r="A216" s="1">
        <v>2021</v>
      </c>
      <c r="B216" s="3" t="s">
        <v>63</v>
      </c>
      <c r="C216" s="1" t="s">
        <v>41</v>
      </c>
      <c r="D216" s="1" t="s">
        <v>87</v>
      </c>
      <c r="E216" s="1" t="s">
        <v>33</v>
      </c>
      <c r="F216" s="1" t="s">
        <v>17</v>
      </c>
      <c r="G216" s="1" t="s">
        <v>9</v>
      </c>
      <c r="H216" s="2">
        <v>43</v>
      </c>
      <c r="I216" s="2">
        <v>820</v>
      </c>
      <c r="J216" s="2">
        <f t="shared" si="4"/>
        <v>35260</v>
      </c>
    </row>
    <row r="217" spans="1:10" x14ac:dyDescent="0.3">
      <c r="A217" s="1">
        <v>2021</v>
      </c>
      <c r="B217" s="3" t="s">
        <v>63</v>
      </c>
      <c r="C217" s="1" t="s">
        <v>41</v>
      </c>
      <c r="D217" s="1" t="s">
        <v>87</v>
      </c>
      <c r="E217" s="1" t="s">
        <v>29</v>
      </c>
      <c r="F217" s="1" t="s">
        <v>22</v>
      </c>
      <c r="G217" s="1" t="s">
        <v>9</v>
      </c>
      <c r="H217" s="2">
        <v>20</v>
      </c>
      <c r="I217" s="2">
        <v>820</v>
      </c>
      <c r="J217" s="2">
        <f t="shared" si="4"/>
        <v>16400</v>
      </c>
    </row>
    <row r="218" spans="1:10" x14ac:dyDescent="0.3">
      <c r="A218" s="1">
        <v>2021</v>
      </c>
      <c r="B218" s="3" t="s">
        <v>63</v>
      </c>
      <c r="C218" s="1" t="s">
        <v>43</v>
      </c>
      <c r="D218" s="1" t="s">
        <v>76</v>
      </c>
      <c r="E218" s="1" t="s">
        <v>36</v>
      </c>
      <c r="F218" s="1" t="s">
        <v>8</v>
      </c>
      <c r="G218" s="1" t="s">
        <v>9</v>
      </c>
      <c r="H218" s="2">
        <v>3</v>
      </c>
      <c r="I218" s="2">
        <v>820</v>
      </c>
      <c r="J218" s="2">
        <f t="shared" si="4"/>
        <v>2460</v>
      </c>
    </row>
    <row r="219" spans="1:10" x14ac:dyDescent="0.3">
      <c r="A219" s="1">
        <v>2021</v>
      </c>
      <c r="B219" s="3" t="s">
        <v>63</v>
      </c>
      <c r="C219" s="1" t="s">
        <v>43</v>
      </c>
      <c r="D219" s="1" t="s">
        <v>76</v>
      </c>
      <c r="E219" s="1" t="s">
        <v>13</v>
      </c>
      <c r="F219" s="1" t="s">
        <v>14</v>
      </c>
      <c r="G219" s="1" t="s">
        <v>12</v>
      </c>
      <c r="H219" s="2">
        <v>3</v>
      </c>
      <c r="I219" s="2">
        <v>800</v>
      </c>
      <c r="J219" s="2">
        <f t="shared" si="4"/>
        <v>2400</v>
      </c>
    </row>
    <row r="220" spans="1:10" x14ac:dyDescent="0.3">
      <c r="A220" s="1">
        <v>2021</v>
      </c>
      <c r="B220" s="3" t="s">
        <v>63</v>
      </c>
      <c r="C220" s="1" t="s">
        <v>44</v>
      </c>
      <c r="D220" s="1" t="s">
        <v>93</v>
      </c>
      <c r="E220" s="1" t="s">
        <v>16</v>
      </c>
      <c r="F220" s="1" t="s">
        <v>17</v>
      </c>
      <c r="G220" s="1" t="s">
        <v>31</v>
      </c>
      <c r="H220" s="2">
        <v>55.178569616383598</v>
      </c>
      <c r="I220" s="2">
        <v>831.12005457060002</v>
      </c>
      <c r="J220" s="2">
        <f t="shared" si="4"/>
        <v>45860.015790696387</v>
      </c>
    </row>
    <row r="221" spans="1:10" x14ac:dyDescent="0.3">
      <c r="A221" s="1">
        <v>2021</v>
      </c>
      <c r="B221" s="3" t="s">
        <v>63</v>
      </c>
      <c r="C221" s="1" t="s">
        <v>44</v>
      </c>
      <c r="D221" s="1" t="s">
        <v>93</v>
      </c>
      <c r="E221" s="1" t="s">
        <v>26</v>
      </c>
      <c r="F221" s="1" t="s">
        <v>14</v>
      </c>
      <c r="G221" s="1" t="s">
        <v>9</v>
      </c>
      <c r="H221" s="2">
        <v>28</v>
      </c>
      <c r="I221" s="2">
        <v>950</v>
      </c>
      <c r="J221" s="2">
        <f t="shared" si="4"/>
        <v>26600</v>
      </c>
    </row>
    <row r="222" spans="1:10" x14ac:dyDescent="0.3">
      <c r="A222" s="1">
        <v>2021</v>
      </c>
      <c r="B222" s="3" t="s">
        <v>63</v>
      </c>
      <c r="C222" s="1" t="s">
        <v>44</v>
      </c>
      <c r="D222" s="1" t="s">
        <v>93</v>
      </c>
      <c r="E222" s="1" t="s">
        <v>28</v>
      </c>
      <c r="F222" s="1" t="s">
        <v>8</v>
      </c>
      <c r="G222" s="1" t="s">
        <v>31</v>
      </c>
      <c r="H222" s="2">
        <v>19</v>
      </c>
      <c r="I222" s="2">
        <v>450</v>
      </c>
      <c r="J222" s="2">
        <f t="shared" si="4"/>
        <v>8550</v>
      </c>
    </row>
    <row r="223" spans="1:10" x14ac:dyDescent="0.3">
      <c r="A223" s="1">
        <v>2021</v>
      </c>
      <c r="B223" s="3" t="s">
        <v>63</v>
      </c>
      <c r="C223" s="1" t="s">
        <v>41</v>
      </c>
      <c r="D223" s="1" t="s">
        <v>89</v>
      </c>
      <c r="E223" s="1" t="s">
        <v>29</v>
      </c>
      <c r="F223" s="1" t="s">
        <v>8</v>
      </c>
      <c r="G223" s="1" t="s">
        <v>23</v>
      </c>
      <c r="H223" s="2">
        <v>47</v>
      </c>
      <c r="I223" s="2">
        <v>1200</v>
      </c>
      <c r="J223" s="2">
        <f t="shared" si="4"/>
        <v>56400</v>
      </c>
    </row>
    <row r="224" spans="1:10" x14ac:dyDescent="0.3">
      <c r="A224" s="1">
        <v>2021</v>
      </c>
      <c r="B224" s="3" t="s">
        <v>64</v>
      </c>
      <c r="C224" s="1" t="s">
        <v>47</v>
      </c>
      <c r="D224" s="1" t="s">
        <v>67</v>
      </c>
      <c r="E224" s="1" t="s">
        <v>34</v>
      </c>
      <c r="F224" s="1" t="s">
        <v>30</v>
      </c>
      <c r="G224" s="1" t="s">
        <v>23</v>
      </c>
      <c r="H224" s="2">
        <v>66</v>
      </c>
      <c r="I224" s="2">
        <v>1200</v>
      </c>
      <c r="J224" s="2">
        <f t="shared" si="4"/>
        <v>79200</v>
      </c>
    </row>
    <row r="225" spans="1:10" x14ac:dyDescent="0.3">
      <c r="A225" s="1">
        <v>2021</v>
      </c>
      <c r="B225" s="3" t="s">
        <v>64</v>
      </c>
      <c r="C225" s="1" t="s">
        <v>46</v>
      </c>
      <c r="D225" s="1" t="s">
        <v>91</v>
      </c>
      <c r="E225" s="1" t="s">
        <v>25</v>
      </c>
      <c r="F225" s="1" t="s">
        <v>22</v>
      </c>
      <c r="G225" s="1" t="s">
        <v>15</v>
      </c>
      <c r="H225" s="2">
        <v>62.377903406482702</v>
      </c>
      <c r="I225" s="2">
        <v>805.48675015701303</v>
      </c>
      <c r="J225" s="2">
        <f t="shared" si="4"/>
        <v>50244.574696495823</v>
      </c>
    </row>
    <row r="226" spans="1:10" x14ac:dyDescent="0.3">
      <c r="A226" s="1">
        <v>2021</v>
      </c>
      <c r="B226" s="3" t="s">
        <v>64</v>
      </c>
      <c r="C226" s="1" t="s">
        <v>47</v>
      </c>
      <c r="D226" s="1" t="s">
        <v>67</v>
      </c>
      <c r="E226" s="1" t="s">
        <v>10</v>
      </c>
      <c r="F226" s="1" t="s">
        <v>17</v>
      </c>
      <c r="G226" s="1" t="s">
        <v>31</v>
      </c>
      <c r="H226" s="2">
        <v>18</v>
      </c>
      <c r="I226" s="2">
        <v>450</v>
      </c>
      <c r="J226" s="2">
        <f t="shared" si="4"/>
        <v>8100</v>
      </c>
    </row>
    <row r="227" spans="1:10" x14ac:dyDescent="0.3">
      <c r="A227" s="1">
        <v>2021</v>
      </c>
      <c r="B227" s="3" t="s">
        <v>64</v>
      </c>
      <c r="C227" s="1" t="s">
        <v>41</v>
      </c>
      <c r="D227" s="1" t="s">
        <v>81</v>
      </c>
      <c r="E227" s="1" t="s">
        <v>19</v>
      </c>
      <c r="F227" s="1" t="s">
        <v>17</v>
      </c>
      <c r="G227" s="1" t="s">
        <v>9</v>
      </c>
      <c r="H227" s="2">
        <v>14</v>
      </c>
      <c r="I227" s="2">
        <v>820</v>
      </c>
      <c r="J227" s="2">
        <f t="shared" si="4"/>
        <v>11480</v>
      </c>
    </row>
    <row r="228" spans="1:10" x14ac:dyDescent="0.3">
      <c r="A228" s="1">
        <v>2021</v>
      </c>
      <c r="B228" s="3" t="s">
        <v>64</v>
      </c>
      <c r="C228" s="1" t="s">
        <v>42</v>
      </c>
      <c r="D228" s="1" t="s">
        <v>68</v>
      </c>
      <c r="E228" s="1" t="s">
        <v>10</v>
      </c>
      <c r="F228" s="1" t="s">
        <v>22</v>
      </c>
      <c r="G228" s="1" t="s">
        <v>15</v>
      </c>
      <c r="H228" s="2">
        <v>145</v>
      </c>
      <c r="I228" s="2">
        <v>650</v>
      </c>
      <c r="J228" s="2">
        <f t="shared" si="4"/>
        <v>94250</v>
      </c>
    </row>
    <row r="229" spans="1:10" x14ac:dyDescent="0.3">
      <c r="A229" s="1">
        <v>2021</v>
      </c>
      <c r="B229" s="3" t="s">
        <v>64</v>
      </c>
      <c r="C229" s="1" t="s">
        <v>42</v>
      </c>
      <c r="D229" s="1" t="s">
        <v>68</v>
      </c>
      <c r="E229" s="1" t="s">
        <v>34</v>
      </c>
      <c r="F229" s="1" t="s">
        <v>17</v>
      </c>
      <c r="G229" s="1" t="s">
        <v>9</v>
      </c>
      <c r="H229" s="2">
        <v>6</v>
      </c>
      <c r="I229" s="2">
        <v>950</v>
      </c>
      <c r="J229" s="2">
        <f t="shared" si="4"/>
        <v>5700</v>
      </c>
    </row>
    <row r="230" spans="1:10" x14ac:dyDescent="0.3">
      <c r="A230" s="1">
        <v>2021</v>
      </c>
      <c r="B230" s="3" t="s">
        <v>64</v>
      </c>
      <c r="C230" s="1" t="s">
        <v>43</v>
      </c>
      <c r="D230" s="1" t="s">
        <v>92</v>
      </c>
      <c r="E230" s="1" t="s">
        <v>10</v>
      </c>
      <c r="F230" s="1" t="s">
        <v>8</v>
      </c>
      <c r="G230" s="1" t="s">
        <v>15</v>
      </c>
      <c r="H230" s="2">
        <v>3</v>
      </c>
      <c r="I230" s="2">
        <v>650</v>
      </c>
      <c r="J230" s="2">
        <f t="shared" si="4"/>
        <v>1950</v>
      </c>
    </row>
    <row r="231" spans="1:10" x14ac:dyDescent="0.3">
      <c r="A231" s="1">
        <v>2021</v>
      </c>
      <c r="B231" s="3" t="s">
        <v>64</v>
      </c>
      <c r="C231" s="1" t="s">
        <v>43</v>
      </c>
      <c r="D231" s="1" t="s">
        <v>92</v>
      </c>
      <c r="E231" s="1" t="s">
        <v>28</v>
      </c>
      <c r="F231" s="1" t="s">
        <v>8</v>
      </c>
      <c r="G231" s="1" t="s">
        <v>23</v>
      </c>
      <c r="H231" s="2">
        <v>55</v>
      </c>
      <c r="I231" s="2">
        <v>1200</v>
      </c>
      <c r="J231" s="2">
        <f t="shared" si="4"/>
        <v>66000</v>
      </c>
    </row>
    <row r="232" spans="1:10" x14ac:dyDescent="0.3">
      <c r="A232" s="1">
        <v>2021</v>
      </c>
      <c r="B232" s="3" t="s">
        <v>64</v>
      </c>
      <c r="C232" s="1" t="s">
        <v>46</v>
      </c>
      <c r="D232" s="1" t="s">
        <v>83</v>
      </c>
      <c r="E232" s="1" t="s">
        <v>33</v>
      </c>
      <c r="F232" s="1" t="s">
        <v>17</v>
      </c>
      <c r="G232" s="1" t="s">
        <v>9</v>
      </c>
      <c r="H232" s="2">
        <v>1</v>
      </c>
      <c r="I232" s="2">
        <v>820</v>
      </c>
      <c r="J232" s="2">
        <f t="shared" si="4"/>
        <v>820</v>
      </c>
    </row>
    <row r="233" spans="1:10" x14ac:dyDescent="0.3">
      <c r="A233" s="1">
        <v>2021</v>
      </c>
      <c r="B233" s="3" t="s">
        <v>64</v>
      </c>
      <c r="C233" s="1" t="s">
        <v>47</v>
      </c>
      <c r="D233" s="1" t="s">
        <v>84</v>
      </c>
      <c r="E233" s="1" t="s">
        <v>16</v>
      </c>
      <c r="F233" s="1" t="s">
        <v>11</v>
      </c>
      <c r="G233" s="1" t="s">
        <v>12</v>
      </c>
      <c r="H233" s="2">
        <v>38</v>
      </c>
      <c r="I233" s="2">
        <v>800</v>
      </c>
      <c r="J233" s="2">
        <f t="shared" si="4"/>
        <v>30400</v>
      </c>
    </row>
    <row r="234" spans="1:10" x14ac:dyDescent="0.3">
      <c r="A234" s="1">
        <v>2021</v>
      </c>
      <c r="B234" s="3" t="s">
        <v>64</v>
      </c>
      <c r="C234" s="1" t="s">
        <v>47</v>
      </c>
      <c r="D234" s="1" t="s">
        <v>84</v>
      </c>
      <c r="E234" s="1" t="s">
        <v>7</v>
      </c>
      <c r="F234" s="1" t="s">
        <v>17</v>
      </c>
      <c r="G234" s="1" t="s">
        <v>12</v>
      </c>
      <c r="H234" s="2">
        <v>5</v>
      </c>
      <c r="I234" s="2">
        <v>800</v>
      </c>
      <c r="J234" s="2">
        <f t="shared" si="4"/>
        <v>4000</v>
      </c>
    </row>
    <row r="235" spans="1:10" x14ac:dyDescent="0.3">
      <c r="A235" s="1">
        <v>2021</v>
      </c>
      <c r="B235" s="3" t="s">
        <v>64</v>
      </c>
      <c r="C235" s="1" t="s">
        <v>47</v>
      </c>
      <c r="D235" s="1" t="s">
        <v>84</v>
      </c>
      <c r="E235" s="1" t="s">
        <v>24</v>
      </c>
      <c r="F235" s="1" t="s">
        <v>30</v>
      </c>
      <c r="G235" s="1" t="s">
        <v>9</v>
      </c>
      <c r="H235" s="2">
        <v>20</v>
      </c>
      <c r="I235" s="2">
        <v>820</v>
      </c>
      <c r="J235" s="2">
        <f t="shared" si="4"/>
        <v>16400</v>
      </c>
    </row>
    <row r="236" spans="1:10" x14ac:dyDescent="0.3">
      <c r="A236" s="1">
        <v>2021</v>
      </c>
      <c r="B236" s="3" t="s">
        <v>64</v>
      </c>
      <c r="C236" s="1" t="s">
        <v>45</v>
      </c>
      <c r="D236" s="1" t="s">
        <v>49</v>
      </c>
      <c r="E236" s="1" t="s">
        <v>25</v>
      </c>
      <c r="F236" s="1" t="s">
        <v>14</v>
      </c>
      <c r="G236" s="1" t="s">
        <v>9</v>
      </c>
      <c r="H236" s="2">
        <v>64.229158152508205</v>
      </c>
      <c r="I236" s="2">
        <v>798.89533027936</v>
      </c>
      <c r="J236" s="2">
        <f t="shared" si="4"/>
        <v>51312.374515813288</v>
      </c>
    </row>
    <row r="237" spans="1:10" x14ac:dyDescent="0.3">
      <c r="A237" s="1">
        <v>2021</v>
      </c>
      <c r="B237" s="3" t="s">
        <v>64</v>
      </c>
      <c r="C237" s="1" t="s">
        <v>44</v>
      </c>
      <c r="D237" s="1" t="s">
        <v>71</v>
      </c>
      <c r="E237" s="1" t="s">
        <v>16</v>
      </c>
      <c r="F237" s="1" t="s">
        <v>8</v>
      </c>
      <c r="G237" s="1" t="s">
        <v>12</v>
      </c>
      <c r="H237" s="2">
        <v>4</v>
      </c>
      <c r="I237" s="2">
        <v>800</v>
      </c>
      <c r="J237" s="2">
        <f t="shared" si="4"/>
        <v>3200</v>
      </c>
    </row>
    <row r="238" spans="1:10" x14ac:dyDescent="0.3">
      <c r="A238" s="1">
        <v>2021</v>
      </c>
      <c r="B238" s="3" t="s">
        <v>64</v>
      </c>
      <c r="C238" s="1" t="s">
        <v>45</v>
      </c>
      <c r="D238" s="1" t="s">
        <v>95</v>
      </c>
      <c r="E238" s="1" t="s">
        <v>18</v>
      </c>
      <c r="F238" s="1" t="s">
        <v>30</v>
      </c>
      <c r="G238" s="1" t="s">
        <v>9</v>
      </c>
      <c r="H238" s="2">
        <v>78</v>
      </c>
      <c r="I238" s="2">
        <v>820</v>
      </c>
      <c r="J238" s="2">
        <f t="shared" si="4"/>
        <v>63960</v>
      </c>
    </row>
    <row r="239" spans="1:10" x14ac:dyDescent="0.3">
      <c r="A239" s="1">
        <v>2021</v>
      </c>
      <c r="B239" s="3" t="s">
        <v>64</v>
      </c>
      <c r="C239" s="1" t="s">
        <v>45</v>
      </c>
      <c r="D239" s="1" t="s">
        <v>95</v>
      </c>
      <c r="E239" s="1" t="s">
        <v>26</v>
      </c>
      <c r="F239" s="1" t="s">
        <v>14</v>
      </c>
      <c r="G239" s="1" t="s">
        <v>12</v>
      </c>
      <c r="H239" s="2">
        <v>7</v>
      </c>
      <c r="I239" s="2">
        <v>800</v>
      </c>
      <c r="J239" s="2">
        <f t="shared" si="4"/>
        <v>5600</v>
      </c>
    </row>
    <row r="240" spans="1:10" x14ac:dyDescent="0.3">
      <c r="A240" s="1">
        <v>2021</v>
      </c>
      <c r="B240" s="3" t="s">
        <v>64</v>
      </c>
      <c r="C240" s="1" t="s">
        <v>47</v>
      </c>
      <c r="D240" s="1" t="s">
        <v>73</v>
      </c>
      <c r="E240" s="1" t="s">
        <v>25</v>
      </c>
      <c r="F240" s="1" t="s">
        <v>17</v>
      </c>
      <c r="G240" s="1" t="s">
        <v>31</v>
      </c>
      <c r="H240" s="2">
        <v>29</v>
      </c>
      <c r="I240" s="2">
        <v>450</v>
      </c>
      <c r="J240" s="2">
        <f t="shared" si="4"/>
        <v>13050</v>
      </c>
    </row>
    <row r="241" spans="1:10" x14ac:dyDescent="0.3">
      <c r="A241" s="1">
        <v>2021</v>
      </c>
      <c r="B241" s="3" t="s">
        <v>64</v>
      </c>
      <c r="C241" s="1" t="s">
        <v>47</v>
      </c>
      <c r="D241" s="1" t="s">
        <v>73</v>
      </c>
      <c r="E241" s="1" t="s">
        <v>20</v>
      </c>
      <c r="F241" s="1" t="s">
        <v>14</v>
      </c>
      <c r="G241" s="1" t="s">
        <v>9</v>
      </c>
      <c r="H241" s="2">
        <v>58.1817194488249</v>
      </c>
      <c r="I241" s="2">
        <v>820.42730514668801</v>
      </c>
      <c r="J241" s="2">
        <f t="shared" si="4"/>
        <v>47733.871296200057</v>
      </c>
    </row>
    <row r="242" spans="1:10" x14ac:dyDescent="0.3">
      <c r="A242" s="1">
        <v>2021</v>
      </c>
      <c r="B242" s="3" t="s">
        <v>64</v>
      </c>
      <c r="C242" s="1" t="s">
        <v>47</v>
      </c>
      <c r="D242" s="1" t="s">
        <v>73</v>
      </c>
      <c r="E242" s="1" t="s">
        <v>32</v>
      </c>
      <c r="F242" s="1" t="s">
        <v>30</v>
      </c>
      <c r="G242" s="1" t="s">
        <v>9</v>
      </c>
      <c r="H242" s="2">
        <v>49</v>
      </c>
      <c r="I242" s="2">
        <v>820</v>
      </c>
      <c r="J242" s="2">
        <f t="shared" si="4"/>
        <v>40180</v>
      </c>
    </row>
    <row r="243" spans="1:10" x14ac:dyDescent="0.3">
      <c r="A243" s="1">
        <v>2021</v>
      </c>
      <c r="B243" s="3" t="s">
        <v>64</v>
      </c>
      <c r="C243" s="1" t="s">
        <v>41</v>
      </c>
      <c r="D243" s="1" t="s">
        <v>74</v>
      </c>
      <c r="E243" s="1" t="s">
        <v>21</v>
      </c>
      <c r="F243" s="1" t="s">
        <v>30</v>
      </c>
      <c r="G243" s="1" t="s">
        <v>9</v>
      </c>
      <c r="H243" s="2">
        <v>173</v>
      </c>
      <c r="I243" s="2">
        <v>950</v>
      </c>
      <c r="J243" s="2">
        <f t="shared" si="4"/>
        <v>164350</v>
      </c>
    </row>
    <row r="244" spans="1:10" x14ac:dyDescent="0.3">
      <c r="A244" s="1">
        <v>2021</v>
      </c>
      <c r="B244" s="3" t="s">
        <v>64</v>
      </c>
      <c r="C244" s="1" t="s">
        <v>41</v>
      </c>
      <c r="D244" s="1" t="s">
        <v>74</v>
      </c>
      <c r="E244" s="1" t="s">
        <v>26</v>
      </c>
      <c r="F244" s="1" t="s">
        <v>30</v>
      </c>
      <c r="G244" s="1" t="s">
        <v>12</v>
      </c>
      <c r="H244" s="2">
        <v>267</v>
      </c>
      <c r="I244" s="2">
        <v>800</v>
      </c>
      <c r="J244" s="2">
        <f t="shared" si="4"/>
        <v>213600</v>
      </c>
    </row>
    <row r="245" spans="1:10" x14ac:dyDescent="0.3">
      <c r="A245" s="1">
        <v>2021</v>
      </c>
      <c r="B245" s="3" t="s">
        <v>64</v>
      </c>
      <c r="C245" s="1" t="s">
        <v>43</v>
      </c>
      <c r="D245" s="1" t="s">
        <v>87</v>
      </c>
      <c r="E245" s="1" t="s">
        <v>10</v>
      </c>
      <c r="F245" s="1" t="s">
        <v>11</v>
      </c>
      <c r="G245" s="1" t="s">
        <v>23</v>
      </c>
      <c r="H245" s="2">
        <v>73</v>
      </c>
      <c r="I245" s="2">
        <v>1200</v>
      </c>
      <c r="J245" s="2">
        <f t="shared" si="4"/>
        <v>87600</v>
      </c>
    </row>
    <row r="246" spans="1:10" x14ac:dyDescent="0.3">
      <c r="A246" s="1">
        <v>2021</v>
      </c>
      <c r="B246" s="3" t="s">
        <v>64</v>
      </c>
      <c r="C246" s="1" t="s">
        <v>44</v>
      </c>
      <c r="D246" s="1" t="s">
        <v>75</v>
      </c>
      <c r="E246" s="1" t="s">
        <v>20</v>
      </c>
      <c r="F246" s="1" t="s">
        <v>30</v>
      </c>
      <c r="G246" s="1" t="s">
        <v>9</v>
      </c>
      <c r="H246" s="2">
        <v>68.055088760960899</v>
      </c>
      <c r="I246" s="2">
        <v>785.27306046533499</v>
      </c>
      <c r="J246" s="2">
        <f t="shared" si="4"/>
        <v>53441.827831559785</v>
      </c>
    </row>
    <row r="247" spans="1:10" x14ac:dyDescent="0.3">
      <c r="A247" s="1">
        <v>2021</v>
      </c>
      <c r="B247" s="3" t="s">
        <v>64</v>
      </c>
      <c r="C247" s="1" t="s">
        <v>46</v>
      </c>
      <c r="D247" s="1" t="s">
        <v>93</v>
      </c>
      <c r="E247" s="1" t="s">
        <v>16</v>
      </c>
      <c r="F247" s="1" t="s">
        <v>30</v>
      </c>
      <c r="G247" s="1" t="s">
        <v>23</v>
      </c>
      <c r="H247" s="2">
        <v>67.2323079849496</v>
      </c>
      <c r="I247" s="2">
        <v>788.20258085544799</v>
      </c>
      <c r="J247" s="2">
        <f t="shared" si="4"/>
        <v>52992.678670605615</v>
      </c>
    </row>
    <row r="248" spans="1:10" x14ac:dyDescent="0.3">
      <c r="A248" s="1">
        <v>2021</v>
      </c>
      <c r="B248" s="3" t="s">
        <v>64</v>
      </c>
      <c r="C248" s="1" t="s">
        <v>41</v>
      </c>
      <c r="D248" s="1" t="s">
        <v>78</v>
      </c>
      <c r="E248" s="1" t="s">
        <v>19</v>
      </c>
      <c r="F248" s="1" t="s">
        <v>11</v>
      </c>
      <c r="G248" s="1" t="s">
        <v>12</v>
      </c>
      <c r="H248" s="2">
        <v>38</v>
      </c>
      <c r="I248" s="2">
        <v>800</v>
      </c>
      <c r="J248" s="2">
        <f t="shared" si="4"/>
        <v>30400</v>
      </c>
    </row>
    <row r="249" spans="1:10" x14ac:dyDescent="0.3">
      <c r="A249" s="1">
        <v>2021</v>
      </c>
      <c r="B249" s="3" t="s">
        <v>64</v>
      </c>
      <c r="C249" s="1" t="s">
        <v>42</v>
      </c>
      <c r="D249" s="1" t="s">
        <v>88</v>
      </c>
      <c r="E249" s="1" t="s">
        <v>28</v>
      </c>
      <c r="F249" s="1" t="s">
        <v>11</v>
      </c>
      <c r="G249" s="1" t="s">
        <v>9</v>
      </c>
      <c r="H249" s="2">
        <v>32</v>
      </c>
      <c r="I249" s="2">
        <v>950</v>
      </c>
      <c r="J249" s="2">
        <f t="shared" si="4"/>
        <v>30400</v>
      </c>
    </row>
    <row r="250" spans="1:10" x14ac:dyDescent="0.3">
      <c r="A250" s="1">
        <v>2021</v>
      </c>
      <c r="B250" s="3" t="s">
        <v>64</v>
      </c>
      <c r="C250" s="1" t="s">
        <v>44</v>
      </c>
      <c r="D250" s="1" t="s">
        <v>79</v>
      </c>
      <c r="E250" s="1" t="s">
        <v>32</v>
      </c>
      <c r="F250" s="1" t="s">
        <v>17</v>
      </c>
      <c r="G250" s="1" t="s">
        <v>9</v>
      </c>
      <c r="H250" s="2">
        <v>4</v>
      </c>
      <c r="I250" s="2">
        <v>820</v>
      </c>
      <c r="J250" s="2">
        <f t="shared" si="4"/>
        <v>3280</v>
      </c>
    </row>
    <row r="251" spans="1:10" x14ac:dyDescent="0.3">
      <c r="A251" s="1">
        <v>2021</v>
      </c>
      <c r="B251" s="3" t="s">
        <v>64</v>
      </c>
      <c r="C251" s="1" t="s">
        <v>47</v>
      </c>
      <c r="D251" s="1" t="s">
        <v>94</v>
      </c>
      <c r="E251" s="1" t="s">
        <v>20</v>
      </c>
      <c r="F251" s="1" t="s">
        <v>8</v>
      </c>
      <c r="G251" s="1" t="s">
        <v>15</v>
      </c>
      <c r="H251" s="2">
        <v>59.703863884445902</v>
      </c>
      <c r="I251" s="2">
        <v>815.00769242497995</v>
      </c>
      <c r="J251" s="2">
        <f t="shared" si="4"/>
        <v>48659.108333317352</v>
      </c>
    </row>
    <row r="252" spans="1:10" x14ac:dyDescent="0.3">
      <c r="A252" s="1">
        <v>2021</v>
      </c>
      <c r="B252" s="3" t="s">
        <v>64</v>
      </c>
      <c r="C252" s="1" t="s">
        <v>47</v>
      </c>
      <c r="D252" s="1" t="s">
        <v>94</v>
      </c>
      <c r="E252" s="1" t="s">
        <v>25</v>
      </c>
      <c r="F252" s="1" t="s">
        <v>11</v>
      </c>
      <c r="G252" s="1" t="s">
        <v>12</v>
      </c>
      <c r="H252" s="2">
        <v>64.887382773317299</v>
      </c>
      <c r="I252" s="2">
        <v>796.55171396726905</v>
      </c>
      <c r="J252" s="2">
        <f t="shared" si="4"/>
        <v>51686.155962936144</v>
      </c>
    </row>
    <row r="253" spans="1:10" x14ac:dyDescent="0.3">
      <c r="A253" s="1">
        <v>2021</v>
      </c>
      <c r="B253" s="3" t="s">
        <v>64</v>
      </c>
      <c r="C253" s="1" t="s">
        <v>47</v>
      </c>
      <c r="D253" s="1" t="s">
        <v>94</v>
      </c>
      <c r="E253" s="1" t="s">
        <v>18</v>
      </c>
      <c r="F253" s="1" t="s">
        <v>11</v>
      </c>
      <c r="G253" s="1" t="s">
        <v>15</v>
      </c>
      <c r="H253" s="2">
        <v>4</v>
      </c>
      <c r="I253" s="2">
        <v>650</v>
      </c>
      <c r="J253" s="2">
        <f t="shared" si="4"/>
        <v>2600</v>
      </c>
    </row>
    <row r="254" spans="1:10" x14ac:dyDescent="0.3">
      <c r="A254" s="1">
        <v>2021</v>
      </c>
      <c r="B254" s="3" t="s">
        <v>64</v>
      </c>
      <c r="C254" s="1" t="s">
        <v>47</v>
      </c>
      <c r="D254" s="1" t="s">
        <v>94</v>
      </c>
      <c r="E254" s="1" t="s">
        <v>34</v>
      </c>
      <c r="F254" s="1" t="s">
        <v>8</v>
      </c>
      <c r="G254" s="1" t="s">
        <v>23</v>
      </c>
      <c r="H254" s="2">
        <v>28</v>
      </c>
      <c r="I254" s="2">
        <v>1200</v>
      </c>
      <c r="J254" s="2">
        <f t="shared" si="4"/>
        <v>33600</v>
      </c>
    </row>
    <row r="255" spans="1:10" x14ac:dyDescent="0.3">
      <c r="A255" s="1">
        <v>2021</v>
      </c>
      <c r="B255" s="3" t="s">
        <v>55</v>
      </c>
      <c r="C255" s="1" t="s">
        <v>46</v>
      </c>
      <c r="D255" s="1" t="s">
        <v>91</v>
      </c>
      <c r="E255" s="1" t="s">
        <v>32</v>
      </c>
      <c r="F255" s="1" t="s">
        <v>22</v>
      </c>
      <c r="G255" s="1" t="s">
        <v>31</v>
      </c>
      <c r="H255" s="2">
        <v>165</v>
      </c>
      <c r="I255" s="2">
        <v>450</v>
      </c>
      <c r="J255" s="2">
        <f t="shared" si="4"/>
        <v>74250</v>
      </c>
    </row>
    <row r="256" spans="1:10" x14ac:dyDescent="0.3">
      <c r="A256" s="1">
        <v>2021</v>
      </c>
      <c r="B256" s="3" t="s">
        <v>55</v>
      </c>
      <c r="C256" s="1" t="s">
        <v>43</v>
      </c>
      <c r="D256" s="1" t="s">
        <v>92</v>
      </c>
      <c r="E256" s="1" t="s">
        <v>37</v>
      </c>
      <c r="F256" s="1" t="s">
        <v>8</v>
      </c>
      <c r="G256" s="1" t="s">
        <v>9</v>
      </c>
      <c r="H256" s="2">
        <v>2</v>
      </c>
      <c r="I256" s="2">
        <v>820</v>
      </c>
      <c r="J256" s="2">
        <f t="shared" si="4"/>
        <v>1640</v>
      </c>
    </row>
    <row r="257" spans="1:10" x14ac:dyDescent="0.3">
      <c r="A257" s="1">
        <v>2021</v>
      </c>
      <c r="B257" s="3" t="s">
        <v>55</v>
      </c>
      <c r="C257" s="1" t="s">
        <v>45</v>
      </c>
      <c r="D257" s="1" t="s">
        <v>82</v>
      </c>
      <c r="E257" s="1" t="s">
        <v>13</v>
      </c>
      <c r="F257" s="1" t="s">
        <v>11</v>
      </c>
      <c r="G257" s="1" t="s">
        <v>31</v>
      </c>
      <c r="H257" s="2">
        <v>27</v>
      </c>
      <c r="I257" s="2">
        <v>450</v>
      </c>
      <c r="J257" s="2">
        <f t="shared" si="4"/>
        <v>12150</v>
      </c>
    </row>
    <row r="258" spans="1:10" x14ac:dyDescent="0.3">
      <c r="A258" s="1">
        <v>2021</v>
      </c>
      <c r="B258" s="3" t="s">
        <v>55</v>
      </c>
      <c r="C258" s="1" t="s">
        <v>47</v>
      </c>
      <c r="D258" s="1" t="s">
        <v>84</v>
      </c>
      <c r="E258" s="1" t="s">
        <v>16</v>
      </c>
      <c r="F258" s="1" t="s">
        <v>14</v>
      </c>
      <c r="G258" s="1" t="s">
        <v>23</v>
      </c>
      <c r="H258" s="2">
        <v>55.631099043189799</v>
      </c>
      <c r="I258" s="2">
        <v>829.50881835603798</v>
      </c>
      <c r="J258" s="2">
        <f t="shared" ref="J258:J307" si="5">H258*I258</f>
        <v>46146.487231164087</v>
      </c>
    </row>
    <row r="259" spans="1:10" x14ac:dyDescent="0.3">
      <c r="A259" s="1">
        <v>2021</v>
      </c>
      <c r="B259" s="3" t="s">
        <v>55</v>
      </c>
      <c r="C259" s="1" t="s">
        <v>45</v>
      </c>
      <c r="D259" s="1" t="s">
        <v>49</v>
      </c>
      <c r="E259" s="1" t="s">
        <v>28</v>
      </c>
      <c r="F259" s="1" t="s">
        <v>30</v>
      </c>
      <c r="G259" s="1" t="s">
        <v>12</v>
      </c>
      <c r="H259" s="2">
        <v>199</v>
      </c>
      <c r="I259" s="2">
        <v>800</v>
      </c>
      <c r="J259" s="2">
        <f t="shared" si="5"/>
        <v>159200</v>
      </c>
    </row>
    <row r="260" spans="1:10" x14ac:dyDescent="0.3">
      <c r="A260" s="1">
        <v>2021</v>
      </c>
      <c r="B260" s="3" t="s">
        <v>55</v>
      </c>
      <c r="C260" s="1" t="s">
        <v>43</v>
      </c>
      <c r="D260" s="1" t="s">
        <v>85</v>
      </c>
      <c r="E260" s="1" t="s">
        <v>33</v>
      </c>
      <c r="F260" s="1" t="s">
        <v>22</v>
      </c>
      <c r="G260" s="1" t="s">
        <v>12</v>
      </c>
      <c r="H260" s="2">
        <v>1</v>
      </c>
      <c r="I260" s="2">
        <v>800</v>
      </c>
      <c r="J260" s="2">
        <f t="shared" si="5"/>
        <v>800</v>
      </c>
    </row>
    <row r="261" spans="1:10" x14ac:dyDescent="0.3">
      <c r="A261" s="1">
        <v>2021</v>
      </c>
      <c r="B261" s="3" t="s">
        <v>55</v>
      </c>
      <c r="C261" s="1" t="s">
        <v>44</v>
      </c>
      <c r="D261" s="1" t="s">
        <v>71</v>
      </c>
      <c r="E261" s="1" t="s">
        <v>28</v>
      </c>
      <c r="F261" s="1" t="s">
        <v>11</v>
      </c>
      <c r="G261" s="1" t="s">
        <v>12</v>
      </c>
      <c r="H261" s="2">
        <v>23</v>
      </c>
      <c r="I261" s="2">
        <v>800</v>
      </c>
      <c r="J261" s="2">
        <f t="shared" si="5"/>
        <v>18400</v>
      </c>
    </row>
    <row r="262" spans="1:10" x14ac:dyDescent="0.3">
      <c r="A262" s="1">
        <v>2021</v>
      </c>
      <c r="B262" s="3" t="s">
        <v>55</v>
      </c>
      <c r="C262" s="1" t="s">
        <v>45</v>
      </c>
      <c r="D262" s="1" t="s">
        <v>95</v>
      </c>
      <c r="E262" s="1" t="s">
        <v>20</v>
      </c>
      <c r="F262" s="1" t="s">
        <v>11</v>
      </c>
      <c r="G262" s="1" t="s">
        <v>31</v>
      </c>
      <c r="H262" s="2">
        <v>59.292473496440202</v>
      </c>
      <c r="I262" s="2">
        <v>816.47245262003605</v>
      </c>
      <c r="J262" s="2">
        <f t="shared" si="5"/>
        <v>48410.671257547016</v>
      </c>
    </row>
    <row r="263" spans="1:10" x14ac:dyDescent="0.3">
      <c r="A263" s="1">
        <v>2021</v>
      </c>
      <c r="B263" s="3" t="s">
        <v>55</v>
      </c>
      <c r="C263" s="1" t="s">
        <v>45</v>
      </c>
      <c r="D263" s="1" t="s">
        <v>95</v>
      </c>
      <c r="E263" s="1" t="s">
        <v>29</v>
      </c>
      <c r="F263" s="1" t="s">
        <v>8</v>
      </c>
      <c r="G263" s="1" t="s">
        <v>23</v>
      </c>
      <c r="H263" s="2">
        <v>21</v>
      </c>
      <c r="I263" s="2">
        <v>1200</v>
      </c>
      <c r="J263" s="2">
        <f t="shared" si="5"/>
        <v>25200</v>
      </c>
    </row>
    <row r="264" spans="1:10" x14ac:dyDescent="0.3">
      <c r="A264" s="1">
        <v>2021</v>
      </c>
      <c r="B264" s="3" t="s">
        <v>55</v>
      </c>
      <c r="C264" s="1" t="s">
        <v>46</v>
      </c>
      <c r="D264" s="1" t="s">
        <v>72</v>
      </c>
      <c r="E264" s="1" t="s">
        <v>16</v>
      </c>
      <c r="F264" s="1" t="s">
        <v>8</v>
      </c>
      <c r="G264" s="1" t="s">
        <v>23</v>
      </c>
      <c r="H264" s="2">
        <v>54.931735383580197</v>
      </c>
      <c r="I264" s="2">
        <v>831.99891068763395</v>
      </c>
      <c r="J264" s="2">
        <f t="shared" si="5"/>
        <v>45703.144001320084</v>
      </c>
    </row>
    <row r="265" spans="1:10" x14ac:dyDescent="0.3">
      <c r="A265" s="1">
        <v>2021</v>
      </c>
      <c r="B265" s="3" t="s">
        <v>55</v>
      </c>
      <c r="C265" s="1" t="s">
        <v>46</v>
      </c>
      <c r="D265" s="1" t="s">
        <v>72</v>
      </c>
      <c r="E265" s="1" t="s">
        <v>20</v>
      </c>
      <c r="F265" s="1" t="s">
        <v>30</v>
      </c>
      <c r="G265" s="1" t="s">
        <v>12</v>
      </c>
      <c r="H265" s="2">
        <v>59.4570296516425</v>
      </c>
      <c r="I265" s="2">
        <v>815.88654854202105</v>
      </c>
      <c r="J265" s="2">
        <f t="shared" si="5"/>
        <v>48510.190709039205</v>
      </c>
    </row>
    <row r="266" spans="1:10" x14ac:dyDescent="0.3">
      <c r="A266" s="1">
        <v>2021</v>
      </c>
      <c r="B266" s="3" t="s">
        <v>55</v>
      </c>
      <c r="C266" s="1" t="s">
        <v>47</v>
      </c>
      <c r="D266" s="1" t="s">
        <v>73</v>
      </c>
      <c r="E266" s="1" t="s">
        <v>10</v>
      </c>
      <c r="F266" s="1" t="s">
        <v>22</v>
      </c>
      <c r="G266" s="1" t="s">
        <v>9</v>
      </c>
      <c r="H266" s="2">
        <v>18</v>
      </c>
      <c r="I266" s="2">
        <v>950</v>
      </c>
      <c r="J266" s="2">
        <f t="shared" si="5"/>
        <v>17100</v>
      </c>
    </row>
    <row r="267" spans="1:10" x14ac:dyDescent="0.3">
      <c r="A267" s="1">
        <v>2021</v>
      </c>
      <c r="B267" s="3" t="s">
        <v>55</v>
      </c>
      <c r="C267" s="1" t="s">
        <v>42</v>
      </c>
      <c r="D267" s="1" t="s">
        <v>86</v>
      </c>
      <c r="E267" s="1" t="s">
        <v>13</v>
      </c>
      <c r="F267" s="1" t="s">
        <v>17</v>
      </c>
      <c r="G267" s="1" t="s">
        <v>9</v>
      </c>
      <c r="H267" s="2">
        <v>18</v>
      </c>
      <c r="I267" s="2">
        <v>820</v>
      </c>
      <c r="J267" s="2">
        <f t="shared" si="5"/>
        <v>14760</v>
      </c>
    </row>
    <row r="268" spans="1:10" x14ac:dyDescent="0.3">
      <c r="A268" s="1">
        <v>2021</v>
      </c>
      <c r="B268" s="3" t="s">
        <v>55</v>
      </c>
      <c r="C268" s="1" t="s">
        <v>43</v>
      </c>
      <c r="D268" s="1" t="s">
        <v>87</v>
      </c>
      <c r="E268" s="1" t="s">
        <v>32</v>
      </c>
      <c r="F268" s="1" t="s">
        <v>14</v>
      </c>
      <c r="G268" s="1" t="s">
        <v>9</v>
      </c>
      <c r="H268" s="2">
        <v>46</v>
      </c>
      <c r="I268" s="2">
        <v>820</v>
      </c>
      <c r="J268" s="2">
        <f t="shared" si="5"/>
        <v>37720</v>
      </c>
    </row>
    <row r="269" spans="1:10" x14ac:dyDescent="0.3">
      <c r="A269" s="1">
        <v>2021</v>
      </c>
      <c r="B269" s="3" t="s">
        <v>55</v>
      </c>
      <c r="C269" s="1" t="s">
        <v>43</v>
      </c>
      <c r="D269" s="1" t="s">
        <v>87</v>
      </c>
      <c r="E269" s="1" t="s">
        <v>32</v>
      </c>
      <c r="F269" s="1" t="s">
        <v>14</v>
      </c>
      <c r="G269" s="1" t="s">
        <v>12</v>
      </c>
      <c r="H269" s="2">
        <v>9</v>
      </c>
      <c r="I269" s="2">
        <v>800</v>
      </c>
      <c r="J269" s="2">
        <f t="shared" si="5"/>
        <v>7200</v>
      </c>
    </row>
    <row r="270" spans="1:10" x14ac:dyDescent="0.3">
      <c r="A270" s="1">
        <v>2021</v>
      </c>
      <c r="B270" s="3" t="s">
        <v>55</v>
      </c>
      <c r="C270" s="1" t="s">
        <v>45</v>
      </c>
      <c r="D270" s="1" t="s">
        <v>76</v>
      </c>
      <c r="E270" s="1" t="s">
        <v>18</v>
      </c>
      <c r="F270" s="1" t="s">
        <v>22</v>
      </c>
      <c r="G270" s="1" t="s">
        <v>9</v>
      </c>
      <c r="H270" s="2" t="s">
        <v>52</v>
      </c>
      <c r="I270" s="2">
        <v>820</v>
      </c>
      <c r="J270" s="2">
        <f t="shared" si="5"/>
        <v>11480</v>
      </c>
    </row>
    <row r="271" spans="1:10" x14ac:dyDescent="0.3">
      <c r="A271" s="1">
        <v>2021</v>
      </c>
      <c r="B271" s="3" t="s">
        <v>55</v>
      </c>
      <c r="C271" s="1" t="s">
        <v>46</v>
      </c>
      <c r="D271" s="1" t="s">
        <v>93</v>
      </c>
      <c r="E271" s="1" t="s">
        <v>16</v>
      </c>
      <c r="F271" s="1" t="s">
        <v>22</v>
      </c>
      <c r="G271" s="1" t="s">
        <v>12</v>
      </c>
      <c r="H271" s="2">
        <v>66.738639519342797</v>
      </c>
      <c r="I271" s="2">
        <v>789.96029308951495</v>
      </c>
      <c r="J271" s="2">
        <f t="shared" si="5"/>
        <v>52720.875235095518</v>
      </c>
    </row>
    <row r="272" spans="1:10" x14ac:dyDescent="0.3">
      <c r="A272" s="1">
        <v>2021</v>
      </c>
      <c r="B272" s="3" t="s">
        <v>55</v>
      </c>
      <c r="C272" s="1" t="s">
        <v>44</v>
      </c>
      <c r="D272" s="1" t="s">
        <v>79</v>
      </c>
      <c r="E272" s="1" t="s">
        <v>26</v>
      </c>
      <c r="F272" s="1" t="s">
        <v>8</v>
      </c>
      <c r="G272" s="1" t="s">
        <v>15</v>
      </c>
      <c r="H272" s="2">
        <v>1</v>
      </c>
      <c r="I272" s="2">
        <v>650</v>
      </c>
      <c r="J272" s="2">
        <f t="shared" si="5"/>
        <v>650</v>
      </c>
    </row>
    <row r="273" spans="1:10" x14ac:dyDescent="0.3">
      <c r="A273" s="1">
        <v>2021</v>
      </c>
      <c r="B273" s="3" t="s">
        <v>55</v>
      </c>
      <c r="C273" s="1" t="s">
        <v>45</v>
      </c>
      <c r="D273" s="1" t="s">
        <v>80</v>
      </c>
      <c r="E273" s="1" t="s">
        <v>10</v>
      </c>
      <c r="F273" s="1" t="s">
        <v>11</v>
      </c>
      <c r="G273" s="1" t="s">
        <v>12</v>
      </c>
      <c r="H273" s="2">
        <v>32</v>
      </c>
      <c r="I273" s="2">
        <v>800</v>
      </c>
      <c r="J273" s="2">
        <f t="shared" si="5"/>
        <v>25600</v>
      </c>
    </row>
    <row r="274" spans="1:10" x14ac:dyDescent="0.3">
      <c r="A274" s="1">
        <v>2021</v>
      </c>
      <c r="B274" s="3" t="s">
        <v>55</v>
      </c>
      <c r="C274" s="1" t="s">
        <v>45</v>
      </c>
      <c r="D274" s="1" t="s">
        <v>80</v>
      </c>
      <c r="E274" s="1" t="s">
        <v>10</v>
      </c>
      <c r="F274" s="1" t="s">
        <v>22</v>
      </c>
      <c r="G274" s="1" t="s">
        <v>15</v>
      </c>
      <c r="H274" s="2">
        <v>249</v>
      </c>
      <c r="I274" s="2">
        <v>650</v>
      </c>
      <c r="J274" s="2">
        <f t="shared" si="5"/>
        <v>161850</v>
      </c>
    </row>
    <row r="275" spans="1:10" x14ac:dyDescent="0.3">
      <c r="A275" s="1">
        <v>2021</v>
      </c>
      <c r="B275" s="3" t="s">
        <v>55</v>
      </c>
      <c r="C275" s="1" t="s">
        <v>45</v>
      </c>
      <c r="D275" s="1" t="s">
        <v>80</v>
      </c>
      <c r="E275" s="1" t="s">
        <v>36</v>
      </c>
      <c r="F275" s="1" t="s">
        <v>14</v>
      </c>
      <c r="G275" s="1" t="s">
        <v>15</v>
      </c>
      <c r="H275" s="2">
        <v>41</v>
      </c>
      <c r="I275" s="2">
        <v>650</v>
      </c>
      <c r="J275" s="2">
        <f t="shared" si="5"/>
        <v>26650</v>
      </c>
    </row>
    <row r="276" spans="1:10" x14ac:dyDescent="0.3">
      <c r="A276" s="1">
        <v>2021</v>
      </c>
      <c r="B276" s="3" t="s">
        <v>55</v>
      </c>
      <c r="C276" s="1" t="s">
        <v>46</v>
      </c>
      <c r="D276" s="1" t="s">
        <v>90</v>
      </c>
      <c r="E276" s="1" t="s">
        <v>21</v>
      </c>
      <c r="F276" s="1" t="s">
        <v>14</v>
      </c>
      <c r="G276" s="1" t="s">
        <v>12</v>
      </c>
      <c r="H276" s="2">
        <v>45</v>
      </c>
      <c r="I276" s="2">
        <v>800</v>
      </c>
      <c r="J276" s="2">
        <f t="shared" si="5"/>
        <v>36000</v>
      </c>
    </row>
    <row r="277" spans="1:10" x14ac:dyDescent="0.3">
      <c r="A277" s="1">
        <v>2021</v>
      </c>
      <c r="B277" s="3" t="s">
        <v>65</v>
      </c>
      <c r="C277" s="1" t="s">
        <v>45</v>
      </c>
      <c r="D277" s="1" t="s">
        <v>67</v>
      </c>
      <c r="E277" s="1" t="s">
        <v>20</v>
      </c>
      <c r="F277" s="1" t="s">
        <v>14</v>
      </c>
      <c r="G277" s="1" t="s">
        <v>9</v>
      </c>
      <c r="H277" s="2">
        <v>10</v>
      </c>
      <c r="I277" s="2">
        <v>820</v>
      </c>
      <c r="J277" s="2">
        <f t="shared" si="5"/>
        <v>8200</v>
      </c>
    </row>
    <row r="278" spans="1:10" x14ac:dyDescent="0.3">
      <c r="A278" s="1">
        <v>2021</v>
      </c>
      <c r="B278" s="3" t="s">
        <v>65</v>
      </c>
      <c r="C278" s="1" t="s">
        <v>45</v>
      </c>
      <c r="D278" s="1" t="s">
        <v>67</v>
      </c>
      <c r="E278" s="1" t="s">
        <v>29</v>
      </c>
      <c r="F278" s="1" t="s">
        <v>22</v>
      </c>
      <c r="G278" s="1" t="s">
        <v>31</v>
      </c>
      <c r="H278" s="2">
        <v>55</v>
      </c>
      <c r="I278" s="2">
        <v>450</v>
      </c>
      <c r="J278" s="2">
        <f t="shared" si="5"/>
        <v>24750</v>
      </c>
    </row>
    <row r="279" spans="1:10" x14ac:dyDescent="0.3">
      <c r="A279" s="1">
        <v>2021</v>
      </c>
      <c r="B279" s="3" t="s">
        <v>65</v>
      </c>
      <c r="C279" s="1" t="s">
        <v>45</v>
      </c>
      <c r="D279" s="1" t="s">
        <v>67</v>
      </c>
      <c r="E279" s="1" t="s">
        <v>34</v>
      </c>
      <c r="F279" s="1" t="s">
        <v>14</v>
      </c>
      <c r="G279" s="1" t="s">
        <v>12</v>
      </c>
      <c r="H279" s="2">
        <v>27</v>
      </c>
      <c r="I279" s="2">
        <v>800</v>
      </c>
      <c r="J279" s="2">
        <f t="shared" si="5"/>
        <v>21600</v>
      </c>
    </row>
    <row r="280" spans="1:10" x14ac:dyDescent="0.3">
      <c r="A280" s="1">
        <v>2021</v>
      </c>
      <c r="B280" s="3" t="s">
        <v>65</v>
      </c>
      <c r="C280" s="1" t="s">
        <v>44</v>
      </c>
      <c r="D280" s="1" t="s">
        <v>91</v>
      </c>
      <c r="E280" s="1" t="s">
        <v>7</v>
      </c>
      <c r="F280" s="1" t="s">
        <v>22</v>
      </c>
      <c r="G280" s="1" t="s">
        <v>9</v>
      </c>
      <c r="H280" s="2">
        <v>75</v>
      </c>
      <c r="I280" s="2">
        <v>950</v>
      </c>
      <c r="J280" s="2">
        <f t="shared" si="5"/>
        <v>71250</v>
      </c>
    </row>
    <row r="281" spans="1:10" x14ac:dyDescent="0.3">
      <c r="A281" s="1">
        <v>2021</v>
      </c>
      <c r="B281" s="3" t="s">
        <v>65</v>
      </c>
      <c r="C281" s="1" t="s">
        <v>43</v>
      </c>
      <c r="D281" s="1" t="s">
        <v>82</v>
      </c>
      <c r="E281" s="1" t="s">
        <v>16</v>
      </c>
      <c r="F281" s="1" t="s">
        <v>14</v>
      </c>
      <c r="G281" s="1" t="s">
        <v>9</v>
      </c>
      <c r="H281" s="2" t="s">
        <v>50</v>
      </c>
      <c r="I281" s="2">
        <v>950</v>
      </c>
      <c r="J281" s="2">
        <f t="shared" si="5"/>
        <v>15200</v>
      </c>
    </row>
    <row r="282" spans="1:10" x14ac:dyDescent="0.3">
      <c r="A282" s="1">
        <v>2021</v>
      </c>
      <c r="B282" s="3" t="s">
        <v>65</v>
      </c>
      <c r="C282" s="1" t="s">
        <v>44</v>
      </c>
      <c r="D282" s="1" t="s">
        <v>83</v>
      </c>
      <c r="E282" s="1" t="s">
        <v>20</v>
      </c>
      <c r="F282" s="1" t="s">
        <v>30</v>
      </c>
      <c r="G282" s="1" t="s">
        <v>23</v>
      </c>
      <c r="H282" s="2">
        <v>58.346275604027198</v>
      </c>
      <c r="I282" s="2">
        <v>819.84140306866595</v>
      </c>
      <c r="J282" s="2">
        <f t="shared" si="5"/>
        <v>47834.692455036733</v>
      </c>
    </row>
    <row r="283" spans="1:10" x14ac:dyDescent="0.3">
      <c r="A283" s="1">
        <v>2021</v>
      </c>
      <c r="B283" s="3" t="s">
        <v>65</v>
      </c>
      <c r="C283" s="1" t="s">
        <v>45</v>
      </c>
      <c r="D283" s="1" t="s">
        <v>84</v>
      </c>
      <c r="E283" s="1" t="s">
        <v>37</v>
      </c>
      <c r="F283" s="1" t="s">
        <v>14</v>
      </c>
      <c r="G283" s="1" t="s">
        <v>12</v>
      </c>
      <c r="H283" s="2">
        <v>18</v>
      </c>
      <c r="I283" s="2">
        <v>800</v>
      </c>
      <c r="J283" s="2">
        <f t="shared" si="5"/>
        <v>14400</v>
      </c>
    </row>
    <row r="284" spans="1:10" x14ac:dyDescent="0.3">
      <c r="A284" s="1">
        <v>2021</v>
      </c>
      <c r="B284" s="3" t="s">
        <v>65</v>
      </c>
      <c r="C284" s="1" t="s">
        <v>45</v>
      </c>
      <c r="D284" s="1" t="s">
        <v>84</v>
      </c>
      <c r="E284" s="1" t="s">
        <v>34</v>
      </c>
      <c r="F284" s="1" t="s">
        <v>11</v>
      </c>
      <c r="G284" s="1" t="s">
        <v>31</v>
      </c>
      <c r="H284" s="2">
        <v>39</v>
      </c>
      <c r="I284" s="2">
        <v>450</v>
      </c>
      <c r="J284" s="2">
        <f t="shared" si="5"/>
        <v>17550</v>
      </c>
    </row>
    <row r="285" spans="1:10" x14ac:dyDescent="0.3">
      <c r="A285" s="1">
        <v>2021</v>
      </c>
      <c r="B285" s="3" t="s">
        <v>65</v>
      </c>
      <c r="C285" s="1" t="s">
        <v>43</v>
      </c>
      <c r="D285" s="1" t="s">
        <v>49</v>
      </c>
      <c r="E285" s="1" t="s">
        <v>18</v>
      </c>
      <c r="F285" s="1" t="s">
        <v>8</v>
      </c>
      <c r="G285" s="1" t="s">
        <v>23</v>
      </c>
      <c r="H285" s="2">
        <v>3</v>
      </c>
      <c r="I285" s="2">
        <v>1200</v>
      </c>
      <c r="J285" s="2">
        <f t="shared" si="5"/>
        <v>3600</v>
      </c>
    </row>
    <row r="286" spans="1:10" x14ac:dyDescent="0.3">
      <c r="A286" s="1">
        <v>2021</v>
      </c>
      <c r="B286" s="3" t="s">
        <v>65</v>
      </c>
      <c r="C286" s="1" t="s">
        <v>47</v>
      </c>
      <c r="D286" s="1" t="s">
        <v>70</v>
      </c>
      <c r="E286" s="1" t="s">
        <v>16</v>
      </c>
      <c r="F286" s="1" t="s">
        <v>22</v>
      </c>
      <c r="G286" s="1" t="s">
        <v>9</v>
      </c>
      <c r="H286" s="2">
        <v>58</v>
      </c>
      <c r="I286" s="2">
        <v>820</v>
      </c>
      <c r="J286" s="2">
        <f t="shared" si="5"/>
        <v>47560</v>
      </c>
    </row>
    <row r="287" spans="1:10" x14ac:dyDescent="0.3">
      <c r="A287" s="1">
        <v>2021</v>
      </c>
      <c r="B287" s="3" t="s">
        <v>65</v>
      </c>
      <c r="C287" s="1" t="s">
        <v>41</v>
      </c>
      <c r="D287" s="1" t="s">
        <v>85</v>
      </c>
      <c r="E287" s="1" t="s">
        <v>20</v>
      </c>
      <c r="F287" s="1" t="s">
        <v>30</v>
      </c>
      <c r="G287" s="1" t="s">
        <v>31</v>
      </c>
      <c r="H287" s="2">
        <v>68.589896265368296</v>
      </c>
      <c r="I287" s="2">
        <v>783.36887220176197</v>
      </c>
      <c r="J287" s="2">
        <f t="shared" si="5"/>
        <v>53731.189681837408</v>
      </c>
    </row>
    <row r="288" spans="1:10" x14ac:dyDescent="0.3">
      <c r="A288" s="1">
        <v>2021</v>
      </c>
      <c r="B288" s="3" t="s">
        <v>65</v>
      </c>
      <c r="C288" s="1" t="s">
        <v>41</v>
      </c>
      <c r="D288" s="1" t="s">
        <v>85</v>
      </c>
      <c r="E288" s="1" t="s">
        <v>34</v>
      </c>
      <c r="F288" s="1" t="s">
        <v>30</v>
      </c>
      <c r="G288" s="1" t="s">
        <v>31</v>
      </c>
      <c r="H288" s="2">
        <v>70</v>
      </c>
      <c r="I288" s="2">
        <v>450</v>
      </c>
      <c r="J288" s="2">
        <f t="shared" si="5"/>
        <v>31500</v>
      </c>
    </row>
    <row r="289" spans="1:10" x14ac:dyDescent="0.3">
      <c r="A289" s="1">
        <v>2021</v>
      </c>
      <c r="B289" s="3" t="s">
        <v>65</v>
      </c>
      <c r="C289" s="1" t="s">
        <v>44</v>
      </c>
      <c r="D289" s="1" t="s">
        <v>72</v>
      </c>
      <c r="E289" s="1" t="s">
        <v>19</v>
      </c>
      <c r="F289" s="1" t="s">
        <v>14</v>
      </c>
      <c r="G289" s="1" t="s">
        <v>9</v>
      </c>
      <c r="H289" s="2">
        <v>60.526644660457201</v>
      </c>
      <c r="I289" s="2">
        <v>812.07817203486695</v>
      </c>
      <c r="J289" s="2">
        <f t="shared" si="5"/>
        <v>49152.366955268022</v>
      </c>
    </row>
    <row r="290" spans="1:10" x14ac:dyDescent="0.3">
      <c r="A290" s="1">
        <v>2021</v>
      </c>
      <c r="B290" s="3" t="s">
        <v>65</v>
      </c>
      <c r="C290" s="1" t="s">
        <v>44</v>
      </c>
      <c r="D290" s="1" t="s">
        <v>72</v>
      </c>
      <c r="E290" s="1" t="s">
        <v>28</v>
      </c>
      <c r="F290" s="1" t="s">
        <v>30</v>
      </c>
      <c r="G290" s="1" t="s">
        <v>12</v>
      </c>
      <c r="H290" s="2">
        <v>57</v>
      </c>
      <c r="I290" s="2">
        <v>800</v>
      </c>
      <c r="J290" s="2">
        <f t="shared" si="5"/>
        <v>45600</v>
      </c>
    </row>
    <row r="291" spans="1:10" x14ac:dyDescent="0.3">
      <c r="A291" s="1">
        <v>2021</v>
      </c>
      <c r="B291" s="3" t="s">
        <v>65</v>
      </c>
      <c r="C291" s="1" t="s">
        <v>45</v>
      </c>
      <c r="D291" s="1" t="s">
        <v>73</v>
      </c>
      <c r="E291" s="1" t="s">
        <v>33</v>
      </c>
      <c r="F291" s="1" t="s">
        <v>14</v>
      </c>
      <c r="G291" s="1" t="s">
        <v>9</v>
      </c>
      <c r="H291" s="2">
        <v>28</v>
      </c>
      <c r="I291" s="2">
        <v>820</v>
      </c>
      <c r="J291" s="2">
        <f t="shared" si="5"/>
        <v>22960</v>
      </c>
    </row>
    <row r="292" spans="1:10" x14ac:dyDescent="0.3">
      <c r="A292" s="1">
        <v>2021</v>
      </c>
      <c r="B292" s="3" t="s">
        <v>65</v>
      </c>
      <c r="C292" s="1" t="s">
        <v>46</v>
      </c>
      <c r="D292" s="1" t="s">
        <v>74</v>
      </c>
      <c r="E292" s="1" t="s">
        <v>32</v>
      </c>
      <c r="F292" s="1" t="s">
        <v>22</v>
      </c>
      <c r="G292" s="1" t="s">
        <v>31</v>
      </c>
      <c r="H292" s="2">
        <v>29</v>
      </c>
      <c r="I292" s="2">
        <v>450</v>
      </c>
      <c r="J292" s="2">
        <f t="shared" si="5"/>
        <v>13050</v>
      </c>
    </row>
    <row r="293" spans="1:10" x14ac:dyDescent="0.3">
      <c r="A293" s="1">
        <v>2021</v>
      </c>
      <c r="B293" s="3" t="s">
        <v>65</v>
      </c>
      <c r="C293" s="1" t="s">
        <v>47</v>
      </c>
      <c r="D293" s="1" t="s">
        <v>86</v>
      </c>
      <c r="E293" s="1" t="s">
        <v>32</v>
      </c>
      <c r="F293" s="1" t="s">
        <v>22</v>
      </c>
      <c r="G293" s="1" t="s">
        <v>9</v>
      </c>
      <c r="H293" s="2">
        <v>14</v>
      </c>
      <c r="I293" s="2">
        <v>820</v>
      </c>
      <c r="J293" s="2">
        <f t="shared" si="5"/>
        <v>11480</v>
      </c>
    </row>
    <row r="294" spans="1:10" x14ac:dyDescent="0.3">
      <c r="A294" s="1">
        <v>2021</v>
      </c>
      <c r="B294" s="3" t="s">
        <v>65</v>
      </c>
      <c r="C294" s="1" t="s">
        <v>41</v>
      </c>
      <c r="D294" s="1" t="s">
        <v>87</v>
      </c>
      <c r="E294" s="1" t="s">
        <v>19</v>
      </c>
      <c r="F294" s="1" t="s">
        <v>22</v>
      </c>
      <c r="G294" s="1" t="s">
        <v>12</v>
      </c>
      <c r="H294" s="2">
        <v>61.719676785673698</v>
      </c>
      <c r="I294" s="2">
        <v>807.83036746920402</v>
      </c>
      <c r="J294" s="2">
        <f t="shared" si="5"/>
        <v>49859.029177851284</v>
      </c>
    </row>
    <row r="295" spans="1:10" x14ac:dyDescent="0.3">
      <c r="A295" s="1">
        <v>2021</v>
      </c>
      <c r="B295" s="3" t="s">
        <v>65</v>
      </c>
      <c r="C295" s="1" t="s">
        <v>41</v>
      </c>
      <c r="D295" s="1" t="s">
        <v>87</v>
      </c>
      <c r="E295" s="1" t="s">
        <v>25</v>
      </c>
      <c r="F295" s="1" t="s">
        <v>22</v>
      </c>
      <c r="G295" s="1" t="s">
        <v>9</v>
      </c>
      <c r="H295" s="2">
        <v>63.612072570499699</v>
      </c>
      <c r="I295" s="2">
        <v>803.09247057194398</v>
      </c>
      <c r="J295" s="2">
        <f t="shared" si="5"/>
        <v>51086.376518844394</v>
      </c>
    </row>
    <row r="296" spans="1:10" x14ac:dyDescent="0.3">
      <c r="A296" s="1">
        <v>2021</v>
      </c>
      <c r="B296" s="3" t="s">
        <v>65</v>
      </c>
      <c r="C296" s="1" t="s">
        <v>42</v>
      </c>
      <c r="D296" s="1" t="s">
        <v>75</v>
      </c>
      <c r="E296" s="1" t="s">
        <v>16</v>
      </c>
      <c r="F296" s="1" t="s">
        <v>8</v>
      </c>
      <c r="G296" s="1" t="s">
        <v>9</v>
      </c>
      <c r="H296" s="2">
        <v>57.400077701614201</v>
      </c>
      <c r="I296" s="2">
        <v>823.21034951729598</v>
      </c>
      <c r="J296" s="2">
        <f t="shared" si="5"/>
        <v>47252.338027065773</v>
      </c>
    </row>
    <row r="297" spans="1:10" x14ac:dyDescent="0.3">
      <c r="A297" s="1">
        <v>2021</v>
      </c>
      <c r="B297" s="3" t="s">
        <v>65</v>
      </c>
      <c r="C297" s="1" t="s">
        <v>43</v>
      </c>
      <c r="D297" s="1" t="s">
        <v>76</v>
      </c>
      <c r="E297" s="1" t="s">
        <v>16</v>
      </c>
      <c r="F297" s="1" t="s">
        <v>30</v>
      </c>
      <c r="G297" s="1" t="s">
        <v>23</v>
      </c>
      <c r="H297" s="2">
        <v>130</v>
      </c>
      <c r="I297" s="2">
        <v>1200</v>
      </c>
      <c r="J297" s="2">
        <f t="shared" si="5"/>
        <v>156000</v>
      </c>
    </row>
    <row r="298" spans="1:10" x14ac:dyDescent="0.3">
      <c r="A298" s="1">
        <v>2021</v>
      </c>
      <c r="B298" s="3" t="s">
        <v>65</v>
      </c>
      <c r="C298" s="1" t="s">
        <v>43</v>
      </c>
      <c r="D298" s="1" t="s">
        <v>76</v>
      </c>
      <c r="E298" s="1" t="s">
        <v>18</v>
      </c>
      <c r="F298" s="1" t="s">
        <v>11</v>
      </c>
      <c r="G298" s="1" t="s">
        <v>23</v>
      </c>
      <c r="H298" s="2">
        <v>60</v>
      </c>
      <c r="I298" s="2">
        <v>1200</v>
      </c>
      <c r="J298" s="2">
        <f t="shared" si="5"/>
        <v>72000</v>
      </c>
    </row>
    <row r="299" spans="1:10" x14ac:dyDescent="0.3">
      <c r="A299" s="1">
        <v>2021</v>
      </c>
      <c r="B299" s="3" t="s">
        <v>65</v>
      </c>
      <c r="C299" s="1" t="s">
        <v>46</v>
      </c>
      <c r="D299" s="1" t="s">
        <v>78</v>
      </c>
      <c r="E299" s="1" t="s">
        <v>25</v>
      </c>
      <c r="F299" s="1" t="s">
        <v>14</v>
      </c>
      <c r="G299" s="1" t="s">
        <v>15</v>
      </c>
      <c r="H299" s="2">
        <v>62.994986988491199</v>
      </c>
      <c r="I299" s="2">
        <v>803.28961086452898</v>
      </c>
      <c r="J299" s="2">
        <f t="shared" si="5"/>
        <v>50603.218584401162</v>
      </c>
    </row>
    <row r="300" spans="1:10" x14ac:dyDescent="0.3">
      <c r="A300" s="1">
        <v>2021</v>
      </c>
      <c r="B300" s="3" t="s">
        <v>65</v>
      </c>
      <c r="C300" s="1" t="s">
        <v>41</v>
      </c>
      <c r="D300" s="1" t="s">
        <v>89</v>
      </c>
      <c r="E300" s="1" t="s">
        <v>16</v>
      </c>
      <c r="F300" s="1" t="s">
        <v>14</v>
      </c>
      <c r="G300" s="1" t="s">
        <v>15</v>
      </c>
      <c r="H300" s="2">
        <v>69</v>
      </c>
      <c r="I300" s="2">
        <v>650</v>
      </c>
      <c r="J300" s="2">
        <f>H302*I302</f>
        <v>4050</v>
      </c>
    </row>
    <row r="301" spans="1:10" x14ac:dyDescent="0.3">
      <c r="A301" s="1">
        <v>2021</v>
      </c>
      <c r="B301" s="3" t="s">
        <v>65</v>
      </c>
      <c r="C301" s="1" t="s">
        <v>41</v>
      </c>
      <c r="D301" s="1" t="s">
        <v>89</v>
      </c>
      <c r="E301" s="1" t="s">
        <v>35</v>
      </c>
      <c r="F301" s="1" t="s">
        <v>14</v>
      </c>
      <c r="G301" s="1" t="s">
        <v>12</v>
      </c>
      <c r="H301" s="2">
        <v>36</v>
      </c>
      <c r="I301" s="2">
        <v>800</v>
      </c>
      <c r="J301" s="2">
        <f t="shared" si="5"/>
        <v>28800</v>
      </c>
    </row>
    <row r="302" spans="1:10" x14ac:dyDescent="0.3">
      <c r="A302" s="1">
        <v>2021</v>
      </c>
      <c r="B302" s="3" t="s">
        <v>65</v>
      </c>
      <c r="C302" s="1" t="s">
        <v>42</v>
      </c>
      <c r="D302" s="1" t="s">
        <v>79</v>
      </c>
      <c r="E302" s="1" t="s">
        <v>10</v>
      </c>
      <c r="F302" s="1" t="s">
        <v>8</v>
      </c>
      <c r="G302" s="1" t="s">
        <v>31</v>
      </c>
      <c r="H302" s="2">
        <v>9</v>
      </c>
      <c r="I302" s="2">
        <v>450</v>
      </c>
      <c r="J302" s="2">
        <f t="shared" si="5"/>
        <v>4050</v>
      </c>
    </row>
    <row r="303" spans="1:10" x14ac:dyDescent="0.3">
      <c r="A303" s="1">
        <v>2021</v>
      </c>
      <c r="B303" s="3" t="s">
        <v>65</v>
      </c>
      <c r="C303" s="1" t="s">
        <v>42</v>
      </c>
      <c r="D303" s="1" t="s">
        <v>79</v>
      </c>
      <c r="E303" s="1" t="s">
        <v>32</v>
      </c>
      <c r="F303" s="1" t="s">
        <v>14</v>
      </c>
      <c r="G303" s="1" t="s">
        <v>15</v>
      </c>
      <c r="H303" s="2" t="s">
        <v>49</v>
      </c>
      <c r="I303" s="2">
        <v>650</v>
      </c>
      <c r="J303" s="2">
        <f t="shared" si="5"/>
        <v>650</v>
      </c>
    </row>
    <row r="304" spans="1:10" x14ac:dyDescent="0.3">
      <c r="A304" s="1">
        <v>2021</v>
      </c>
      <c r="B304" s="3" t="s">
        <v>65</v>
      </c>
      <c r="C304" s="1" t="s">
        <v>42</v>
      </c>
      <c r="D304" s="1" t="s">
        <v>79</v>
      </c>
      <c r="E304" s="1" t="s">
        <v>35</v>
      </c>
      <c r="F304" s="1" t="s">
        <v>17</v>
      </c>
      <c r="G304" s="1" t="s">
        <v>31</v>
      </c>
      <c r="H304" s="2">
        <v>7</v>
      </c>
      <c r="I304" s="2">
        <v>450</v>
      </c>
      <c r="J304" s="2">
        <f t="shared" si="5"/>
        <v>3150</v>
      </c>
    </row>
    <row r="305" spans="1:10" x14ac:dyDescent="0.3">
      <c r="A305" s="1">
        <v>2021</v>
      </c>
      <c r="B305" s="3" t="s">
        <v>65</v>
      </c>
      <c r="C305" s="1" t="s">
        <v>43</v>
      </c>
      <c r="D305" s="1" t="s">
        <v>80</v>
      </c>
      <c r="E305" s="1" t="s">
        <v>26</v>
      </c>
      <c r="F305" s="1" t="s">
        <v>11</v>
      </c>
      <c r="G305" s="1" t="s">
        <v>9</v>
      </c>
      <c r="H305" s="2">
        <v>166</v>
      </c>
      <c r="I305" s="2">
        <v>950</v>
      </c>
      <c r="J305" s="2">
        <f t="shared" si="5"/>
        <v>157700</v>
      </c>
    </row>
    <row r="306" spans="1:10" x14ac:dyDescent="0.3">
      <c r="A306" s="1">
        <v>2021</v>
      </c>
      <c r="B306" s="3" t="s">
        <v>65</v>
      </c>
      <c r="C306" s="1" t="s">
        <v>43</v>
      </c>
      <c r="D306" s="1" t="s">
        <v>80</v>
      </c>
      <c r="E306" s="1" t="s">
        <v>24</v>
      </c>
      <c r="F306" s="1" t="s">
        <v>14</v>
      </c>
      <c r="G306" s="1" t="s">
        <v>9</v>
      </c>
      <c r="H306" s="2">
        <v>21</v>
      </c>
      <c r="I306" s="2">
        <v>820</v>
      </c>
      <c r="J306" s="2">
        <f t="shared" si="5"/>
        <v>17220</v>
      </c>
    </row>
    <row r="307" spans="1:10" x14ac:dyDescent="0.3">
      <c r="A307" s="1">
        <v>2021</v>
      </c>
      <c r="B307" s="3" t="s">
        <v>65</v>
      </c>
      <c r="C307" s="1" t="s">
        <v>44</v>
      </c>
      <c r="D307" s="1" t="s">
        <v>90</v>
      </c>
      <c r="E307" s="1" t="s">
        <v>33</v>
      </c>
      <c r="F307" s="1" t="s">
        <v>30</v>
      </c>
      <c r="G307" s="1" t="s">
        <v>12</v>
      </c>
      <c r="H307" s="2">
        <v>97</v>
      </c>
      <c r="I307" s="2">
        <v>800</v>
      </c>
      <c r="J307" s="2">
        <f t="shared" si="5"/>
        <v>77600</v>
      </c>
    </row>
  </sheetData>
  <sortState xmlns:xlrd2="http://schemas.microsoft.com/office/spreadsheetml/2017/richdata2" ref="E2:J307">
    <sortCondition ref="J2:J307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0893-217D-41B9-B4C8-FD3FA0F102A5}">
  <dimension ref="A3:H15"/>
  <sheetViews>
    <sheetView zoomScale="130" zoomScaleNormal="130" workbookViewId="0">
      <selection activeCell="F4" sqref="F4"/>
    </sheetView>
  </sheetViews>
  <sheetFormatPr defaultColWidth="11.5546875" defaultRowHeight="14.4" x14ac:dyDescent="0.3"/>
  <cols>
    <col min="1" max="1" width="17.5546875" bestFit="1" customWidth="1"/>
    <col min="2" max="2" width="22.44140625" bestFit="1" customWidth="1"/>
    <col min="3" max="3" width="7.109375" bestFit="1" customWidth="1"/>
    <col min="4" max="4" width="9.6640625" bestFit="1" customWidth="1"/>
    <col min="5" max="5" width="6.88671875" bestFit="1" customWidth="1"/>
    <col min="6" max="6" width="7.5546875" bestFit="1" customWidth="1"/>
    <col min="7" max="7" width="7.33203125" bestFit="1" customWidth="1"/>
    <col min="8" max="8" width="8.88671875" bestFit="1" customWidth="1"/>
    <col min="9" max="9" width="6.109375" bestFit="1" customWidth="1"/>
    <col min="10" max="31" width="3" bestFit="1" customWidth="1"/>
    <col min="32" max="35" width="11.5546875" bestFit="1" customWidth="1"/>
    <col min="36" max="36" width="14.5546875" bestFit="1" customWidth="1"/>
    <col min="37" max="47" width="8.6640625" bestFit="1" customWidth="1"/>
    <col min="48" max="48" width="11.6640625" bestFit="1" customWidth="1"/>
    <col min="49" max="59" width="9.44140625" bestFit="1" customWidth="1"/>
    <col min="60" max="60" width="12.44140625" bestFit="1" customWidth="1"/>
    <col min="61" max="71" width="9.109375" bestFit="1" customWidth="1"/>
    <col min="72" max="72" width="12.109375" bestFit="1" customWidth="1"/>
    <col min="73" max="83" width="10.6640625" bestFit="1" customWidth="1"/>
    <col min="84" max="84" width="13.6640625" bestFit="1" customWidth="1"/>
    <col min="85" max="85" width="12.5546875" bestFit="1" customWidth="1"/>
  </cols>
  <sheetData>
    <row r="3" spans="1:8" x14ac:dyDescent="0.3">
      <c r="A3" s="4" t="s">
        <v>53</v>
      </c>
      <c r="B3" s="4" t="s">
        <v>40</v>
      </c>
    </row>
    <row r="4" spans="1:8" x14ac:dyDescent="0.3">
      <c r="A4" s="4" t="s">
        <v>38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</row>
    <row r="5" spans="1:8" x14ac:dyDescent="0.3">
      <c r="A5" s="5" t="s">
        <v>55</v>
      </c>
      <c r="C5">
        <v>1</v>
      </c>
      <c r="D5">
        <v>4</v>
      </c>
      <c r="E5">
        <v>2</v>
      </c>
      <c r="F5">
        <v>8</v>
      </c>
      <c r="G5">
        <v>5</v>
      </c>
      <c r="H5">
        <v>2</v>
      </c>
    </row>
    <row r="6" spans="1:8" x14ac:dyDescent="0.3">
      <c r="A6" s="5" t="s">
        <v>56</v>
      </c>
      <c r="B6">
        <v>1</v>
      </c>
      <c r="C6">
        <v>2</v>
      </c>
      <c r="D6">
        <v>3</v>
      </c>
      <c r="E6">
        <v>4</v>
      </c>
      <c r="F6">
        <v>1</v>
      </c>
      <c r="G6">
        <v>2</v>
      </c>
      <c r="H6">
        <v>7</v>
      </c>
    </row>
    <row r="7" spans="1:8" x14ac:dyDescent="0.3">
      <c r="A7" s="5" t="s">
        <v>57</v>
      </c>
      <c r="B7">
        <v>6</v>
      </c>
      <c r="C7">
        <v>5</v>
      </c>
      <c r="D7">
        <v>10</v>
      </c>
      <c r="E7">
        <v>5</v>
      </c>
      <c r="F7">
        <v>4</v>
      </c>
      <c r="G7">
        <v>3</v>
      </c>
      <c r="H7">
        <v>10</v>
      </c>
    </row>
    <row r="8" spans="1:8" x14ac:dyDescent="0.3">
      <c r="A8" s="5" t="s">
        <v>58</v>
      </c>
      <c r="B8">
        <v>6</v>
      </c>
      <c r="C8">
        <v>5</v>
      </c>
      <c r="D8">
        <v>5</v>
      </c>
      <c r="E8">
        <v>3</v>
      </c>
      <c r="F8">
        <v>4</v>
      </c>
      <c r="G8">
        <v>4</v>
      </c>
      <c r="H8">
        <v>5</v>
      </c>
    </row>
    <row r="9" spans="1:8" x14ac:dyDescent="0.3">
      <c r="A9" s="5" t="s">
        <v>59</v>
      </c>
      <c r="B9">
        <v>2</v>
      </c>
      <c r="C9">
        <v>1</v>
      </c>
      <c r="D9">
        <v>2</v>
      </c>
      <c r="E9">
        <v>3</v>
      </c>
      <c r="F9">
        <v>4</v>
      </c>
      <c r="G9">
        <v>2</v>
      </c>
      <c r="H9">
        <v>4</v>
      </c>
    </row>
    <row r="10" spans="1:8" x14ac:dyDescent="0.3">
      <c r="A10" s="5" t="s">
        <v>60</v>
      </c>
      <c r="B10">
        <v>4</v>
      </c>
      <c r="C10">
        <v>6</v>
      </c>
      <c r="D10">
        <v>7</v>
      </c>
      <c r="E10">
        <v>3</v>
      </c>
      <c r="F10">
        <v>1</v>
      </c>
      <c r="G10">
        <v>4</v>
      </c>
      <c r="H10">
        <v>4</v>
      </c>
    </row>
    <row r="11" spans="1:8" x14ac:dyDescent="0.3">
      <c r="A11" s="5" t="s">
        <v>61</v>
      </c>
      <c r="B11">
        <v>3</v>
      </c>
      <c r="C11">
        <v>2</v>
      </c>
      <c r="D11">
        <v>8</v>
      </c>
      <c r="E11">
        <v>6</v>
      </c>
      <c r="F11">
        <v>2</v>
      </c>
      <c r="G11">
        <v>5</v>
      </c>
      <c r="H11">
        <v>1</v>
      </c>
    </row>
    <row r="12" spans="1:8" x14ac:dyDescent="0.3">
      <c r="A12" s="5" t="s">
        <v>62</v>
      </c>
      <c r="B12">
        <v>3</v>
      </c>
      <c r="C12">
        <v>9</v>
      </c>
      <c r="D12">
        <v>2</v>
      </c>
      <c r="E12">
        <v>5</v>
      </c>
      <c r="F12">
        <v>2</v>
      </c>
      <c r="G12">
        <v>3</v>
      </c>
    </row>
    <row r="13" spans="1:8" x14ac:dyDescent="0.3">
      <c r="A13" s="5" t="s">
        <v>63</v>
      </c>
      <c r="B13">
        <v>5</v>
      </c>
      <c r="C13">
        <v>3</v>
      </c>
      <c r="D13">
        <v>8</v>
      </c>
      <c r="E13">
        <v>7</v>
      </c>
      <c r="F13">
        <v>3</v>
      </c>
      <c r="G13">
        <v>1</v>
      </c>
      <c r="H13">
        <v>2</v>
      </c>
    </row>
    <row r="14" spans="1:8" x14ac:dyDescent="0.3">
      <c r="A14" s="5" t="s">
        <v>64</v>
      </c>
      <c r="B14">
        <v>4</v>
      </c>
      <c r="C14">
        <v>3</v>
      </c>
      <c r="D14">
        <v>3</v>
      </c>
      <c r="E14">
        <v>3</v>
      </c>
      <c r="F14">
        <v>3</v>
      </c>
      <c r="G14">
        <v>3</v>
      </c>
      <c r="H14">
        <v>12</v>
      </c>
    </row>
    <row r="15" spans="1:8" x14ac:dyDescent="0.3">
      <c r="A15" s="5" t="s">
        <v>65</v>
      </c>
      <c r="B15">
        <v>6</v>
      </c>
      <c r="C15">
        <v>4</v>
      </c>
      <c r="D15">
        <v>6</v>
      </c>
      <c r="E15">
        <v>5</v>
      </c>
      <c r="F15">
        <v>6</v>
      </c>
      <c r="G15">
        <v>2</v>
      </c>
      <c r="H15">
        <v>2</v>
      </c>
    </row>
  </sheetData>
  <sortState xmlns:xlrd2="http://schemas.microsoft.com/office/spreadsheetml/2017/richdata2" columnSort="1" ref="A3:H15">
    <sortCondition ref="B4" customList="Lunes,Martes,Miércoles,Jueves,Viernes,Sábado,Domingo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4526F1D9-2BF7-4CFD-BC4A-0010F5C602D5}">
  <ds:schemaRefs>
    <ds:schemaRef ds:uri="http://gemini/pivotcustomization/TableXML_Tabla1"/>
  </ds:schemaRefs>
</ds:datastoreItem>
</file>

<file path=customXml/itemProps2.xml><?xml version="1.0" encoding="utf-8"?>
<ds:datastoreItem xmlns:ds="http://schemas.openxmlformats.org/officeDocument/2006/customXml" ds:itemID="{F77386B9-53FC-4F7B-8490-58A4AE69F66C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190F2AB1-C51F-4A3E-93F0-ACBB86F795E3}">
  <ds:schemaRefs>
    <ds:schemaRef ds:uri="http://gemini/pivotcustomization/TableWidget"/>
  </ds:schemaRefs>
</ds:datastoreItem>
</file>

<file path=customXml/itemProps4.xml><?xml version="1.0" encoding="utf-8"?>
<ds:datastoreItem xmlns:ds="http://schemas.openxmlformats.org/officeDocument/2006/customXml" ds:itemID="{D9F114E2-5B97-49E2-9591-8EEB213C7DFF}">
  <ds:schemaRefs>
    <ds:schemaRef ds:uri="http://gemini/pivotcustomization/IsSandboxEmbedded"/>
  </ds:schemaRefs>
</ds:datastoreItem>
</file>

<file path=customXml/itemProps5.xml><?xml version="1.0" encoding="utf-8"?>
<ds:datastoreItem xmlns:ds="http://schemas.openxmlformats.org/officeDocument/2006/customXml" ds:itemID="{10C94196-F7B4-4F20-AE0D-661858EDADB9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28288511-C29A-4A63-AC64-DCD49205A27E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E1D6A2C6-D1B7-452A-B3CB-04198567F5B5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46475366-C347-4B71-88D4-655C373A6821}">
  <ds:schemaRefs>
    <ds:schemaRef ds:uri="http://gemini/pivotcustomization/SandboxNonEmpty"/>
  </ds:schemaRefs>
</ds:datastoreItem>
</file>

<file path=customXml/itemProps9.xml><?xml version="1.0" encoding="utf-8"?>
<ds:datastoreItem xmlns:ds="http://schemas.openxmlformats.org/officeDocument/2006/customXml" ds:itemID="{8FC7DC2B-D3F1-42B9-A198-3DBA66F95E41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FD58E19C-8890-4D70-972D-54761A8E707D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CB9139B0-B220-4EA7-8721-9502281CA3FC}">
  <ds:schemaRefs>
    <ds:schemaRef ds:uri="http://gemini/pivotcustomization/ClientWindowXML"/>
  </ds:schemaRefs>
</ds:datastoreItem>
</file>

<file path=customXml/itemProps12.xml><?xml version="1.0" encoding="utf-8"?>
<ds:datastoreItem xmlns:ds="http://schemas.openxmlformats.org/officeDocument/2006/customXml" ds:itemID="{467E9F5E-E216-4C9E-87F0-6F0E234F2666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0C9C0BC8-E79B-48CB-9522-63E6954BBFEC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83184710-1B55-4603-8C1D-EEB808022F1F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EB3B7A9E-7726-4BD8-AF53-519350238FCA}">
  <ds:schemaRefs>
    <ds:schemaRef ds:uri="http://gemini/pivotcustomization/PowerPivotVersion"/>
  </ds:schemaRefs>
</ds:datastoreItem>
</file>

<file path=customXml/itemProps16.xml><?xml version="1.0" encoding="utf-8"?>
<ds:datastoreItem xmlns:ds="http://schemas.openxmlformats.org/officeDocument/2006/customXml" ds:itemID="{36097203-2B47-42A1-9A37-30DF90F0E9FA}">
  <ds:schemaRefs>
    <ds:schemaRef ds:uri="http://gemini/pivotcustomization/MeasureGrid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DATOS</vt:lpstr>
      <vt:lpstr>TD</vt:lpstr>
      <vt:lpstr>Ventas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Alerrandro Ferreira</cp:lastModifiedBy>
  <cp:revision/>
  <dcterms:created xsi:type="dcterms:W3CDTF">2016-02-01T04:41:02Z</dcterms:created>
  <dcterms:modified xsi:type="dcterms:W3CDTF">2026-08-24T19:34:11Z</dcterms:modified>
  <cp:category/>
  <cp:contentStatus/>
</cp:coreProperties>
</file>