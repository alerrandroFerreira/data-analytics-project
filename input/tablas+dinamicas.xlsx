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91c9beb8b690f66/Documentos/GitHub/data-analytics-project/input/"/>
    </mc:Choice>
  </mc:AlternateContent>
  <xr:revisionPtr revIDLastSave="1078" documentId="8_{65C11525-4EBE-45C4-B8DC-E239B0FB25BF}" xr6:coauthVersionLast="47" xr6:coauthVersionMax="47" xr10:uidLastSave="{F01457F6-1628-4F20-8B14-451A9602EADD}"/>
  <bookViews>
    <workbookView xWindow="-108" yWindow="-108" windowWidth="23256" windowHeight="13176" activeTab="2" xr2:uid="{00000000-000D-0000-FFFF-FFFF00000000}"/>
  </bookViews>
  <sheets>
    <sheet name="ExampleTable" sheetId="14" r:id="rId1"/>
    <sheet name="DATOS" sheetId="1" r:id="rId2"/>
    <sheet name="ExampleTableforFilter" sheetId="12" r:id="rId3"/>
    <sheet name="td" sheetId="9" r:id="rId4"/>
    <sheet name="vinculada" sheetId="11" r:id="rId5"/>
  </sheets>
  <definedNames>
    <definedName name="_xlcn.WorksheetConnection_tablasdinamicas.xlsxTabla11" hidden="1">Tabla1[]</definedName>
    <definedName name="Cantidad">DATOS!$E$2:$E$1498</definedName>
    <definedName name="Distribuidor">DATOS!$C$2:$C$1498</definedName>
    <definedName name="Fecha">DATOS!#REF!</definedName>
    <definedName name="Marca">DATOS!$D$2:$D$1498</definedName>
    <definedName name="Operador">DATOS!#REF!</definedName>
    <definedName name="País">DATOS!$B$2:$B$1498</definedName>
    <definedName name="Precio">DATOS!$F$2:$F$1498</definedName>
    <definedName name="SegmentaciónDeDatos_Centro">#N/A</definedName>
    <definedName name="SegmentaciónDeDatos_Producto">#N/A</definedName>
    <definedName name="SegmentaciónDeDatos_Provincia">#N/A</definedName>
    <definedName name="Ventas">DATOS!$B$1:$F$1498</definedName>
  </definedNames>
  <calcPr calcId="191028"/>
  <pivotCaches>
    <pivotCache cacheId="0" r:id="rId6"/>
    <pivotCache cacheId="12" r:id="rId7"/>
    <pivotCache cacheId="3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tablas dinamicas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G3" i="1" s="1"/>
  <c r="R4" i="11" a="1"/>
  <c r="R4" i="11" s="1"/>
  <c r="S4" i="11" s="1"/>
  <c r="N4" i="11" a="1"/>
  <c r="N4" i="11" s="1"/>
  <c r="O4" i="11" s="1"/>
  <c r="P4" i="11" a="1"/>
  <c r="P4" i="11" s="1"/>
  <c r="Q4" i="11" s="1"/>
  <c r="G146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791" i="1"/>
  <c r="G1271" i="1"/>
  <c r="G792" i="1"/>
  <c r="G66" i="1"/>
  <c r="G1210" i="1"/>
  <c r="G1333" i="1"/>
  <c r="G1272" i="1"/>
  <c r="G663" i="1"/>
  <c r="G908" i="1"/>
  <c r="G1089" i="1"/>
  <c r="G177" i="1"/>
  <c r="G1211" i="1"/>
  <c r="G1153" i="1"/>
  <c r="G250" i="1"/>
  <c r="G1449" i="1"/>
  <c r="G1450" i="1"/>
  <c r="G1090" i="1"/>
  <c r="G178" i="1"/>
  <c r="G592" i="1"/>
  <c r="G909" i="1"/>
  <c r="G793" i="1"/>
  <c r="G123" i="1"/>
  <c r="G67" i="1"/>
  <c r="G68" i="1"/>
  <c r="G1385" i="1"/>
  <c r="G845" i="1"/>
  <c r="G1273" i="1"/>
  <c r="G1154" i="1"/>
  <c r="G1274" i="1"/>
  <c r="G966" i="1"/>
  <c r="G179" i="1"/>
  <c r="G1091" i="1"/>
  <c r="G124" i="1"/>
  <c r="G125" i="1"/>
  <c r="G967" i="1"/>
  <c r="G126" i="1"/>
  <c r="G251" i="1"/>
  <c r="G1092" i="1"/>
  <c r="G664" i="1"/>
  <c r="G593" i="1"/>
  <c r="G1275" i="1"/>
  <c r="G665" i="1"/>
  <c r="G252" i="1"/>
  <c r="G1386" i="1"/>
  <c r="G594" i="1"/>
  <c r="G1093" i="1"/>
  <c r="G595" i="1"/>
  <c r="G1041" i="1"/>
  <c r="G127" i="1"/>
  <c r="G735" i="1"/>
  <c r="G1155" i="1"/>
  <c r="G968" i="1"/>
  <c r="G596" i="1"/>
  <c r="G2" i="1"/>
  <c r="G666" i="1"/>
  <c r="G1276" i="1"/>
  <c r="G1042" i="1"/>
  <c r="G667" i="1"/>
  <c r="G794" i="1"/>
  <c r="G736" i="1"/>
  <c r="G1277" i="1"/>
  <c r="G969" i="1"/>
  <c r="G668" i="1"/>
  <c r="G737" i="1"/>
  <c r="G1334" i="1"/>
  <c r="G910" i="1"/>
  <c r="G1451" i="1"/>
  <c r="G1043" i="1"/>
  <c r="G1387" i="1"/>
  <c r="G597" i="1"/>
  <c r="G1335" i="1"/>
  <c r="G1452" i="1"/>
  <c r="G598" i="1"/>
  <c r="G4" i="1"/>
  <c r="G69" i="1"/>
  <c r="G970" i="1"/>
  <c r="G738" i="1"/>
  <c r="G253" i="1"/>
  <c r="G1336" i="1"/>
  <c r="G128" i="1"/>
  <c r="G1044" i="1"/>
  <c r="G1337" i="1"/>
  <c r="G971" i="1"/>
  <c r="G1094" i="1"/>
  <c r="G1156" i="1"/>
  <c r="G599" i="1"/>
  <c r="G795" i="1"/>
  <c r="G796" i="1"/>
  <c r="G1095" i="1"/>
  <c r="G1096" i="1"/>
  <c r="G1212" i="1"/>
  <c r="G1045" i="1"/>
  <c r="G70" i="1"/>
  <c r="G1213" i="1"/>
  <c r="G1388" i="1"/>
  <c r="G911" i="1"/>
  <c r="G1338" i="1"/>
  <c r="G180" i="1"/>
  <c r="G846" i="1"/>
  <c r="G1157" i="1"/>
  <c r="G5" i="1"/>
  <c r="G181" i="1"/>
  <c r="G1389" i="1"/>
  <c r="G6" i="1"/>
  <c r="G739" i="1"/>
  <c r="G972" i="1"/>
  <c r="G797" i="1"/>
  <c r="G1214" i="1"/>
  <c r="G1215" i="1"/>
  <c r="G71" i="1"/>
  <c r="G1390" i="1"/>
  <c r="G1046" i="1"/>
  <c r="G1216" i="1"/>
  <c r="G740" i="1"/>
  <c r="G600" i="1"/>
  <c r="G1391" i="1"/>
  <c r="G7" i="1"/>
  <c r="G847" i="1"/>
  <c r="G182" i="1"/>
  <c r="G1278" i="1"/>
  <c r="G1453" i="1"/>
  <c r="G669" i="1"/>
  <c r="G741" i="1"/>
  <c r="G601" i="1"/>
  <c r="G1158" i="1"/>
  <c r="G798" i="1"/>
  <c r="G1217" i="1"/>
  <c r="G1454" i="1"/>
  <c r="G129" i="1"/>
  <c r="G602" i="1"/>
  <c r="G1218" i="1"/>
  <c r="G1392" i="1"/>
  <c r="G72" i="1"/>
  <c r="G848" i="1"/>
  <c r="G1455" i="1"/>
  <c r="G8" i="1"/>
  <c r="G9" i="1"/>
  <c r="G973" i="1"/>
  <c r="G742" i="1"/>
  <c r="G1456" i="1"/>
  <c r="G1339" i="1"/>
  <c r="G974" i="1"/>
  <c r="G130" i="1"/>
  <c r="G183" i="1"/>
  <c r="G912" i="1"/>
  <c r="G849" i="1"/>
  <c r="G743" i="1"/>
  <c r="G131" i="1"/>
  <c r="G184" i="1"/>
  <c r="G1279" i="1"/>
  <c r="G1340" i="1"/>
  <c r="G799" i="1"/>
  <c r="G73" i="1"/>
  <c r="G800" i="1"/>
  <c r="G1393" i="1"/>
  <c r="G1219" i="1"/>
  <c r="G1457" i="1"/>
  <c r="G1220" i="1"/>
  <c r="G975" i="1"/>
  <c r="G185" i="1"/>
  <c r="G1097" i="1"/>
  <c r="G1280" i="1"/>
  <c r="G1047" i="1"/>
  <c r="G850" i="1"/>
  <c r="G744" i="1"/>
  <c r="G1048" i="1"/>
  <c r="G801" i="1"/>
  <c r="G1098" i="1"/>
  <c r="G1099" i="1"/>
  <c r="G851" i="1"/>
  <c r="G1341" i="1"/>
  <c r="G1281" i="1"/>
  <c r="G913" i="1"/>
  <c r="G670" i="1"/>
  <c r="G132" i="1"/>
  <c r="G1458" i="1"/>
  <c r="G1459" i="1"/>
  <c r="G852" i="1"/>
  <c r="G10" i="1"/>
  <c r="G11" i="1"/>
  <c r="G1049" i="1"/>
  <c r="G1159" i="1"/>
  <c r="G1221" i="1"/>
  <c r="G186" i="1"/>
  <c r="G1100" i="1"/>
  <c r="G74" i="1"/>
  <c r="G1342" i="1"/>
  <c r="G1343" i="1"/>
  <c r="G671" i="1"/>
  <c r="G976" i="1"/>
  <c r="G1282" i="1"/>
  <c r="G12" i="1"/>
  <c r="G1394" i="1"/>
  <c r="G1160" i="1"/>
  <c r="G187" i="1"/>
  <c r="G672" i="1"/>
  <c r="G745" i="1"/>
  <c r="G1222" i="1"/>
  <c r="G1161" i="1"/>
  <c r="G1162" i="1"/>
  <c r="G1163" i="1"/>
  <c r="G746" i="1"/>
  <c r="G977" i="1"/>
  <c r="G978" i="1"/>
  <c r="G1344" i="1"/>
  <c r="G75" i="1"/>
  <c r="G673" i="1"/>
  <c r="G188" i="1"/>
  <c r="G1164" i="1"/>
  <c r="G914" i="1"/>
  <c r="G853" i="1"/>
  <c r="G747" i="1"/>
  <c r="G133" i="1"/>
  <c r="G1165" i="1"/>
  <c r="G1166" i="1"/>
  <c r="G674" i="1"/>
  <c r="G748" i="1"/>
  <c r="G603" i="1"/>
  <c r="G854" i="1"/>
  <c r="G979" i="1"/>
  <c r="G980" i="1"/>
  <c r="G1167" i="1"/>
  <c r="G1168" i="1"/>
  <c r="G675" i="1"/>
  <c r="G1395" i="1"/>
  <c r="G749" i="1"/>
  <c r="G855" i="1"/>
  <c r="G1223" i="1"/>
  <c r="G676" i="1"/>
  <c r="G981" i="1"/>
  <c r="G1396" i="1"/>
  <c r="G604" i="1"/>
  <c r="G677" i="1"/>
  <c r="G1224" i="1"/>
  <c r="G1225" i="1"/>
  <c r="G915" i="1"/>
  <c r="G605" i="1"/>
  <c r="G1169" i="1"/>
  <c r="G606" i="1"/>
  <c r="G750" i="1"/>
  <c r="G982" i="1"/>
  <c r="G983" i="1"/>
  <c r="G1226" i="1"/>
  <c r="G1050" i="1"/>
  <c r="G1227" i="1"/>
  <c r="G751" i="1"/>
  <c r="G1101" i="1"/>
  <c r="G1345" i="1"/>
  <c r="G1397" i="1"/>
  <c r="G1346" i="1"/>
  <c r="G76" i="1"/>
  <c r="G1102" i="1"/>
  <c r="G607" i="1"/>
  <c r="G856" i="1"/>
  <c r="G13" i="1"/>
  <c r="G14" i="1"/>
  <c r="G1283" i="1"/>
  <c r="G857" i="1"/>
  <c r="G678" i="1"/>
  <c r="G1103" i="1"/>
  <c r="G679" i="1"/>
  <c r="G608" i="1"/>
  <c r="G77" i="1"/>
  <c r="G78" i="1"/>
  <c r="G680" i="1"/>
  <c r="G752" i="1"/>
  <c r="G916" i="1"/>
  <c r="G15" i="1"/>
  <c r="G917" i="1"/>
  <c r="G134" i="1"/>
  <c r="G189" i="1"/>
  <c r="G1347" i="1"/>
  <c r="G190" i="1"/>
  <c r="G16" i="1"/>
  <c r="G1460" i="1"/>
  <c r="G681" i="1"/>
  <c r="G1170" i="1"/>
  <c r="G135" i="1"/>
  <c r="G191" i="1"/>
  <c r="G1228" i="1"/>
  <c r="G79" i="1"/>
  <c r="G1398" i="1"/>
  <c r="G136" i="1"/>
  <c r="G984" i="1"/>
  <c r="G858" i="1"/>
  <c r="G859" i="1"/>
  <c r="G918" i="1"/>
  <c r="G860" i="1"/>
  <c r="G802" i="1"/>
  <c r="G1171" i="1"/>
  <c r="G137" i="1"/>
  <c r="G17" i="1"/>
  <c r="G803" i="1"/>
  <c r="G1284" i="1"/>
  <c r="G1399" i="1"/>
  <c r="G1229" i="1"/>
  <c r="G861" i="1"/>
  <c r="G1230" i="1"/>
  <c r="G753" i="1"/>
  <c r="G682" i="1"/>
  <c r="G18" i="1"/>
  <c r="G1285" i="1"/>
  <c r="G80" i="1"/>
  <c r="G985" i="1"/>
  <c r="G754" i="1"/>
  <c r="G19" i="1"/>
  <c r="G1400" i="1"/>
  <c r="G683" i="1"/>
  <c r="G684" i="1"/>
  <c r="G192" i="1"/>
  <c r="G804" i="1"/>
  <c r="G919" i="1"/>
  <c r="G20" i="1"/>
  <c r="G862" i="1"/>
  <c r="G1286" i="1"/>
  <c r="G986" i="1"/>
  <c r="G81" i="1"/>
  <c r="G987" i="1"/>
  <c r="G1231" i="1"/>
  <c r="G1232" i="1"/>
  <c r="G755" i="1"/>
  <c r="G920" i="1"/>
  <c r="G1104" i="1"/>
  <c r="G193" i="1"/>
  <c r="G609" i="1"/>
  <c r="G1172" i="1"/>
  <c r="G21" i="1"/>
  <c r="G1051" i="1"/>
  <c r="G82" i="1"/>
  <c r="G83" i="1"/>
  <c r="G921" i="1"/>
  <c r="G1287" i="1"/>
  <c r="G988" i="1"/>
  <c r="G22" i="1"/>
  <c r="G1461" i="1"/>
  <c r="G1233" i="1"/>
  <c r="G610" i="1"/>
  <c r="G138" i="1"/>
  <c r="G1052" i="1"/>
  <c r="G84" i="1"/>
  <c r="G194" i="1"/>
  <c r="G1053" i="1"/>
  <c r="G85" i="1"/>
  <c r="G805" i="1"/>
  <c r="G1401" i="1"/>
  <c r="G139" i="1"/>
  <c r="G685" i="1"/>
  <c r="G686" i="1"/>
  <c r="G1402" i="1"/>
  <c r="G756" i="1"/>
  <c r="G195" i="1"/>
  <c r="G1403" i="1"/>
  <c r="G1348" i="1"/>
  <c r="G196" i="1"/>
  <c r="G757" i="1"/>
  <c r="G1404" i="1"/>
  <c r="G86" i="1"/>
  <c r="G23" i="1"/>
  <c r="G87" i="1"/>
  <c r="G1234" i="1"/>
  <c r="G140" i="1"/>
  <c r="G1235" i="1"/>
  <c r="G863" i="1"/>
  <c r="G864" i="1"/>
  <c r="G1288" i="1"/>
  <c r="G1405" i="1"/>
  <c r="G24" i="1"/>
  <c r="G806" i="1"/>
  <c r="G1406" i="1"/>
  <c r="G197" i="1"/>
  <c r="G198" i="1"/>
  <c r="G687" i="1"/>
  <c r="G1289" i="1"/>
  <c r="G141" i="1"/>
  <c r="G199" i="1"/>
  <c r="G1290" i="1"/>
  <c r="G88" i="1"/>
  <c r="G89" i="1"/>
  <c r="G200" i="1"/>
  <c r="G1349" i="1"/>
  <c r="G142" i="1"/>
  <c r="G688" i="1"/>
  <c r="G1105" i="1"/>
  <c r="G25" i="1"/>
  <c r="G26" i="1"/>
  <c r="G1236" i="1"/>
  <c r="G922" i="1"/>
  <c r="G1106" i="1"/>
  <c r="G1463" i="1"/>
  <c r="G611" i="1"/>
  <c r="G1464" i="1"/>
  <c r="G1107" i="1"/>
  <c r="G689" i="1"/>
  <c r="G1291" i="1"/>
  <c r="G612" i="1"/>
  <c r="G90" i="1"/>
  <c r="G758" i="1"/>
  <c r="G1173" i="1"/>
  <c r="G27" i="1"/>
  <c r="G923" i="1"/>
  <c r="G989" i="1"/>
  <c r="G1108" i="1"/>
  <c r="G990" i="1"/>
  <c r="G91" i="1"/>
  <c r="G991" i="1"/>
  <c r="G865" i="1"/>
  <c r="G924" i="1"/>
  <c r="G92" i="1"/>
  <c r="G759" i="1"/>
  <c r="G1054" i="1"/>
  <c r="G201" i="1"/>
  <c r="G1109" i="1"/>
  <c r="G925" i="1"/>
  <c r="G926" i="1"/>
  <c r="G760" i="1"/>
  <c r="G1110" i="1"/>
  <c r="G28" i="1"/>
  <c r="G992" i="1"/>
  <c r="G1237" i="1"/>
  <c r="G1238" i="1"/>
  <c r="G143" i="1"/>
  <c r="G1292" i="1"/>
  <c r="G1111" i="1"/>
  <c r="G993" i="1"/>
  <c r="G866" i="1"/>
  <c r="G1174" i="1"/>
  <c r="G867" i="1"/>
  <c r="G1055" i="1"/>
  <c r="G1465" i="1"/>
  <c r="G93" i="1"/>
  <c r="G927" i="1"/>
  <c r="G690" i="1"/>
  <c r="G868" i="1"/>
  <c r="G202" i="1"/>
  <c r="G203" i="1"/>
  <c r="G761" i="1"/>
  <c r="G204" i="1"/>
  <c r="G1407" i="1"/>
  <c r="G994" i="1"/>
  <c r="G1056" i="1"/>
  <c r="G1293" i="1"/>
  <c r="G1466" i="1"/>
  <c r="G1408" i="1"/>
  <c r="G1057" i="1"/>
  <c r="G928" i="1"/>
  <c r="G762" i="1"/>
  <c r="G929" i="1"/>
  <c r="G613" i="1"/>
  <c r="G29" i="1"/>
  <c r="G1239" i="1"/>
  <c r="G614" i="1"/>
  <c r="G1409" i="1"/>
  <c r="G1350" i="1"/>
  <c r="G1410" i="1"/>
  <c r="G930" i="1"/>
  <c r="G1467" i="1"/>
  <c r="G995" i="1"/>
  <c r="G869" i="1"/>
  <c r="G615" i="1"/>
  <c r="G1294" i="1"/>
  <c r="G94" i="1"/>
  <c r="G205" i="1"/>
  <c r="G1295" i="1"/>
  <c r="G1175" i="1"/>
  <c r="G616" i="1"/>
  <c r="G763" i="1"/>
  <c r="G996" i="1"/>
  <c r="G1351" i="1"/>
  <c r="G206" i="1"/>
  <c r="G997" i="1"/>
  <c r="G30" i="1"/>
  <c r="G764" i="1"/>
  <c r="G144" i="1"/>
  <c r="G207" i="1"/>
  <c r="G617" i="1"/>
  <c r="G1240" i="1"/>
  <c r="G998" i="1"/>
  <c r="G1296" i="1"/>
  <c r="G807" i="1"/>
  <c r="G1468" i="1"/>
  <c r="G691" i="1"/>
  <c r="G1469" i="1"/>
  <c r="G870" i="1"/>
  <c r="G765" i="1"/>
  <c r="G692" i="1"/>
  <c r="G1297" i="1"/>
  <c r="G693" i="1"/>
  <c r="G1470" i="1"/>
  <c r="G1298" i="1"/>
  <c r="G95" i="1"/>
  <c r="G208" i="1"/>
  <c r="G808" i="1"/>
  <c r="G931" i="1"/>
  <c r="G1176" i="1"/>
  <c r="G1299" i="1"/>
  <c r="G1352" i="1"/>
  <c r="G1112" i="1"/>
  <c r="G1241" i="1"/>
  <c r="G96" i="1"/>
  <c r="G97" i="1"/>
  <c r="G932" i="1"/>
  <c r="G145" i="1"/>
  <c r="G1177" i="1"/>
  <c r="G809" i="1"/>
  <c r="G1058" i="1"/>
  <c r="G209" i="1"/>
  <c r="G146" i="1"/>
  <c r="G1353" i="1"/>
  <c r="G1242" i="1"/>
  <c r="G766" i="1"/>
  <c r="G618" i="1"/>
  <c r="G1178" i="1"/>
  <c r="G1354" i="1"/>
  <c r="G933" i="1"/>
  <c r="G999" i="1"/>
  <c r="G619" i="1"/>
  <c r="G210" i="1"/>
  <c r="G1411" i="1"/>
  <c r="G1000" i="1"/>
  <c r="G1001" i="1"/>
  <c r="G1300" i="1"/>
  <c r="G767" i="1"/>
  <c r="G1301" i="1"/>
  <c r="G620" i="1"/>
  <c r="G1113" i="1"/>
  <c r="G1355" i="1"/>
  <c r="G31" i="1"/>
  <c r="G1302" i="1"/>
  <c r="G768" i="1"/>
  <c r="G694" i="1"/>
  <c r="G934" i="1"/>
  <c r="G1412" i="1"/>
  <c r="G1002" i="1"/>
  <c r="G1356" i="1"/>
  <c r="G32" i="1"/>
  <c r="G1413" i="1"/>
  <c r="G1303" i="1"/>
  <c r="G211" i="1"/>
  <c r="G1179" i="1"/>
  <c r="G33" i="1"/>
  <c r="G1357" i="1"/>
  <c r="G695" i="1"/>
  <c r="G1304" i="1"/>
  <c r="G871" i="1"/>
  <c r="G872" i="1"/>
  <c r="G212" i="1"/>
  <c r="G213" i="1"/>
  <c r="G621" i="1"/>
  <c r="G147" i="1"/>
  <c r="G214" i="1"/>
  <c r="G810" i="1"/>
  <c r="G696" i="1"/>
  <c r="G1305" i="1"/>
  <c r="G1306" i="1"/>
  <c r="G769" i="1"/>
  <c r="G1003" i="1"/>
  <c r="G1414" i="1"/>
  <c r="G811" i="1"/>
  <c r="G873" i="1"/>
  <c r="G148" i="1"/>
  <c r="G697" i="1"/>
  <c r="G1004" i="1"/>
  <c r="G874" i="1"/>
  <c r="G1471" i="1"/>
  <c r="G875" i="1"/>
  <c r="G935" i="1"/>
  <c r="G770" i="1"/>
  <c r="G1358" i="1"/>
  <c r="G1180" i="1"/>
  <c r="G1243" i="1"/>
  <c r="G149" i="1"/>
  <c r="G98" i="1"/>
  <c r="G622" i="1"/>
  <c r="G698" i="1"/>
  <c r="G812" i="1"/>
  <c r="G1114" i="1"/>
  <c r="G1359" i="1"/>
  <c r="G623" i="1"/>
  <c r="G99" i="1"/>
  <c r="G1115" i="1"/>
  <c r="G1116" i="1"/>
  <c r="G876" i="1"/>
  <c r="G1181" i="1"/>
  <c r="G1360" i="1"/>
  <c r="G1472" i="1"/>
  <c r="G877" i="1"/>
  <c r="G1307" i="1"/>
  <c r="G624" i="1"/>
  <c r="G1361" i="1"/>
  <c r="G1005" i="1"/>
  <c r="G1059" i="1"/>
  <c r="G1060" i="1"/>
  <c r="G936" i="1"/>
  <c r="G34" i="1"/>
  <c r="G625" i="1"/>
  <c r="G813" i="1"/>
  <c r="G937" i="1"/>
  <c r="G1117" i="1"/>
  <c r="G938" i="1"/>
  <c r="G1061" i="1"/>
  <c r="G150" i="1"/>
  <c r="G626" i="1"/>
  <c r="G1362" i="1"/>
  <c r="G1062" i="1"/>
  <c r="G1182" i="1"/>
  <c r="G771" i="1"/>
  <c r="G699" i="1"/>
  <c r="G878" i="1"/>
  <c r="G215" i="1"/>
  <c r="G1006" i="1"/>
  <c r="G1473" i="1"/>
  <c r="G1063" i="1"/>
  <c r="G1474" i="1"/>
  <c r="G700" i="1"/>
  <c r="G879" i="1"/>
  <c r="G939" i="1"/>
  <c r="G216" i="1"/>
  <c r="G100" i="1"/>
  <c r="G880" i="1"/>
  <c r="G940" i="1"/>
  <c r="G1118" i="1"/>
  <c r="G1475" i="1"/>
  <c r="G1007" i="1"/>
  <c r="G217" i="1"/>
  <c r="G1008" i="1"/>
  <c r="G1064" i="1"/>
  <c r="G1009" i="1"/>
  <c r="G1010" i="1"/>
  <c r="G881" i="1"/>
  <c r="G941" i="1"/>
  <c r="G1308" i="1"/>
  <c r="G218" i="1"/>
  <c r="G1309" i="1"/>
  <c r="G1310" i="1"/>
  <c r="G1244" i="1"/>
  <c r="G882" i="1"/>
  <c r="G701" i="1"/>
  <c r="G1119" i="1"/>
  <c r="G101" i="1"/>
  <c r="G1011" i="1"/>
  <c r="G1245" i="1"/>
  <c r="G1415" i="1"/>
  <c r="G35" i="1"/>
  <c r="G627" i="1"/>
  <c r="G1120" i="1"/>
  <c r="G814" i="1"/>
  <c r="G702" i="1"/>
  <c r="G1012" i="1"/>
  <c r="G1013" i="1"/>
  <c r="G1121" i="1"/>
  <c r="G1122" i="1"/>
  <c r="G703" i="1"/>
  <c r="G628" i="1"/>
  <c r="G704" i="1"/>
  <c r="G1311" i="1"/>
  <c r="G629" i="1"/>
  <c r="G1416" i="1"/>
  <c r="G36" i="1"/>
  <c r="G942" i="1"/>
  <c r="G630" i="1"/>
  <c r="G1363" i="1"/>
  <c r="G1065" i="1"/>
  <c r="G631" i="1"/>
  <c r="G1014" i="1"/>
  <c r="G219" i="1"/>
  <c r="G815" i="1"/>
  <c r="G1183" i="1"/>
  <c r="G772" i="1"/>
  <c r="G1184" i="1"/>
  <c r="G816" i="1"/>
  <c r="G632" i="1"/>
  <c r="G37" i="1"/>
  <c r="G943" i="1"/>
  <c r="G1476" i="1"/>
  <c r="G102" i="1"/>
  <c r="G1246" i="1"/>
  <c r="G1417" i="1"/>
  <c r="G883" i="1"/>
  <c r="G773" i="1"/>
  <c r="G1185" i="1"/>
  <c r="G1477" i="1"/>
  <c r="G1312" i="1"/>
  <c r="G1123" i="1"/>
  <c r="G1066" i="1"/>
  <c r="G774" i="1"/>
  <c r="G151" i="1"/>
  <c r="G1067" i="1"/>
  <c r="G1015" i="1"/>
  <c r="G944" i="1"/>
  <c r="G1124" i="1"/>
  <c r="G1125" i="1"/>
  <c r="G817" i="1"/>
  <c r="G775" i="1"/>
  <c r="G38" i="1"/>
  <c r="G1016" i="1"/>
  <c r="G705" i="1"/>
  <c r="G1126" i="1"/>
  <c r="G1313" i="1"/>
  <c r="G818" i="1"/>
  <c r="G1478" i="1"/>
  <c r="G152" i="1"/>
  <c r="G1068" i="1"/>
  <c r="G633" i="1"/>
  <c r="G945" i="1"/>
  <c r="G1247" i="1"/>
  <c r="G220" i="1"/>
  <c r="G884" i="1"/>
  <c r="G819" i="1"/>
  <c r="G1364" i="1"/>
  <c r="G153" i="1"/>
  <c r="G1186" i="1"/>
  <c r="G1069" i="1"/>
  <c r="G634" i="1"/>
  <c r="G1479" i="1"/>
  <c r="G1127" i="1"/>
  <c r="G1480" i="1"/>
  <c r="G776" i="1"/>
  <c r="G154" i="1"/>
  <c r="G1314" i="1"/>
  <c r="G1365" i="1"/>
  <c r="G1366" i="1"/>
  <c r="G635" i="1"/>
  <c r="G1367" i="1"/>
  <c r="G103" i="1"/>
  <c r="G155" i="1"/>
  <c r="G1481" i="1"/>
  <c r="G820" i="1"/>
  <c r="G946" i="1"/>
  <c r="G821" i="1"/>
  <c r="G636" i="1"/>
  <c r="G1017" i="1"/>
  <c r="G156" i="1"/>
  <c r="G706" i="1"/>
  <c r="G1315" i="1"/>
  <c r="G707" i="1"/>
  <c r="G1128" i="1"/>
  <c r="G1018" i="1"/>
  <c r="G221" i="1"/>
  <c r="G637" i="1"/>
  <c r="G822" i="1"/>
  <c r="G1248" i="1"/>
  <c r="G1019" i="1"/>
  <c r="G708" i="1"/>
  <c r="G39" i="1"/>
  <c r="G1482" i="1"/>
  <c r="G1249" i="1"/>
  <c r="G823" i="1"/>
  <c r="G885" i="1"/>
  <c r="G157" i="1"/>
  <c r="G104" i="1"/>
  <c r="G709" i="1"/>
  <c r="G886" i="1"/>
  <c r="G1483" i="1"/>
  <c r="G1020" i="1"/>
  <c r="G222" i="1"/>
  <c r="G887" i="1"/>
  <c r="G105" i="1"/>
  <c r="G1250" i="1"/>
  <c r="G223" i="1"/>
  <c r="G224" i="1"/>
  <c r="G158" i="1"/>
  <c r="G225" i="1"/>
  <c r="G888" i="1"/>
  <c r="G638" i="1"/>
  <c r="G639" i="1"/>
  <c r="G1418" i="1"/>
  <c r="G824" i="1"/>
  <c r="G1187" i="1"/>
  <c r="G1368" i="1"/>
  <c r="G1419" i="1"/>
  <c r="G1251" i="1"/>
  <c r="G1369" i="1"/>
  <c r="G1188" i="1"/>
  <c r="G40" i="1"/>
  <c r="G1021" i="1"/>
  <c r="G1252" i="1"/>
  <c r="G947" i="1"/>
  <c r="G1420" i="1"/>
  <c r="G1253" i="1"/>
  <c r="G1070" i="1"/>
  <c r="G1254" i="1"/>
  <c r="G1022" i="1"/>
  <c r="G948" i="1"/>
  <c r="G41" i="1"/>
  <c r="G889" i="1"/>
  <c r="G890" i="1"/>
  <c r="G1421" i="1"/>
  <c r="G1189" i="1"/>
  <c r="G1190" i="1"/>
  <c r="G891" i="1"/>
  <c r="G1071" i="1"/>
  <c r="G1191" i="1"/>
  <c r="G159" i="1"/>
  <c r="G710" i="1"/>
  <c r="G640" i="1"/>
  <c r="G1129" i="1"/>
  <c r="G106" i="1"/>
  <c r="G42" i="1"/>
  <c r="G641" i="1"/>
  <c r="G1130" i="1"/>
  <c r="G1131" i="1"/>
  <c r="G1072" i="1"/>
  <c r="G107" i="1"/>
  <c r="G892" i="1"/>
  <c r="G642" i="1"/>
  <c r="G777" i="1"/>
  <c r="G1132" i="1"/>
  <c r="G893" i="1"/>
  <c r="G949" i="1"/>
  <c r="G1192" i="1"/>
  <c r="G711" i="1"/>
  <c r="G1422" i="1"/>
  <c r="G712" i="1"/>
  <c r="G1316" i="1"/>
  <c r="G1133" i="1"/>
  <c r="G1484" i="1"/>
  <c r="G1423" i="1"/>
  <c r="G226" i="1"/>
  <c r="G1193" i="1"/>
  <c r="G1485" i="1"/>
  <c r="G1134" i="1"/>
  <c r="G108" i="1"/>
  <c r="G109" i="1"/>
  <c r="G1424" i="1"/>
  <c r="G1194" i="1"/>
  <c r="G643" i="1"/>
  <c r="G713" i="1"/>
  <c r="G1425" i="1"/>
  <c r="G1426" i="1"/>
  <c r="G1317" i="1"/>
  <c r="G227" i="1"/>
  <c r="G1427" i="1"/>
  <c r="G825" i="1"/>
  <c r="G714" i="1"/>
  <c r="G160" i="1"/>
  <c r="G1073" i="1"/>
  <c r="G161" i="1"/>
  <c r="G1195" i="1"/>
  <c r="G1074" i="1"/>
  <c r="G715" i="1"/>
  <c r="G1075" i="1"/>
  <c r="G1318" i="1"/>
  <c r="G778" i="1"/>
  <c r="G228" i="1"/>
  <c r="G716" i="1"/>
  <c r="G162" i="1"/>
  <c r="G1428" i="1"/>
  <c r="G1486" i="1"/>
  <c r="G1429" i="1"/>
  <c r="G43" i="1"/>
  <c r="G950" i="1"/>
  <c r="G1255" i="1"/>
  <c r="G644" i="1"/>
  <c r="G1196" i="1"/>
  <c r="G229" i="1"/>
  <c r="G1370" i="1"/>
  <c r="G44" i="1"/>
  <c r="G1430" i="1"/>
  <c r="G1431" i="1"/>
  <c r="G645" i="1"/>
  <c r="G826" i="1"/>
  <c r="G1256" i="1"/>
  <c r="G1432" i="1"/>
  <c r="G1135" i="1"/>
  <c r="G45" i="1"/>
  <c r="G163" i="1"/>
  <c r="G110" i="1"/>
  <c r="G111" i="1"/>
  <c r="G164" i="1"/>
  <c r="G1257" i="1"/>
  <c r="G951" i="1"/>
  <c r="G1197" i="1"/>
  <c r="G952" i="1"/>
  <c r="G46" i="1"/>
  <c r="G779" i="1"/>
  <c r="G1136" i="1"/>
  <c r="G717" i="1"/>
  <c r="G1258" i="1"/>
  <c r="G646" i="1"/>
  <c r="G1023" i="1"/>
  <c r="G1259" i="1"/>
  <c r="G1487" i="1"/>
  <c r="G1198" i="1"/>
  <c r="G47" i="1"/>
  <c r="G230" i="1"/>
  <c r="G894" i="1"/>
  <c r="G231" i="1"/>
  <c r="G1076" i="1"/>
  <c r="G1488" i="1"/>
  <c r="G1371" i="1"/>
  <c r="G48" i="1"/>
  <c r="G49" i="1"/>
  <c r="G1024" i="1"/>
  <c r="G1433" i="1"/>
  <c r="G1434" i="1"/>
  <c r="G50" i="1"/>
  <c r="G647" i="1"/>
  <c r="G953" i="1"/>
  <c r="G232" i="1"/>
  <c r="G233" i="1"/>
  <c r="G1199" i="1"/>
  <c r="G827" i="1"/>
  <c r="G1077" i="1"/>
  <c r="G234" i="1"/>
  <c r="G718" i="1"/>
  <c r="G235" i="1"/>
  <c r="G1025" i="1"/>
  <c r="G780" i="1"/>
  <c r="G236" i="1"/>
  <c r="G828" i="1"/>
  <c r="G1435" i="1"/>
  <c r="G1319" i="1"/>
  <c r="G1489" i="1"/>
  <c r="G1137" i="1"/>
  <c r="G829" i="1"/>
  <c r="G648" i="1"/>
  <c r="G1138" i="1"/>
  <c r="G781" i="1"/>
  <c r="G1026" i="1"/>
  <c r="G1320" i="1"/>
  <c r="G782" i="1"/>
  <c r="G112" i="1"/>
  <c r="G113" i="1"/>
  <c r="G954" i="1"/>
  <c r="G649" i="1"/>
  <c r="G1260" i="1"/>
  <c r="G1436" i="1"/>
  <c r="G955" i="1"/>
  <c r="G830" i="1"/>
  <c r="G650" i="1"/>
  <c r="G165" i="1"/>
  <c r="G166" i="1"/>
  <c r="G1200" i="1"/>
  <c r="G1027" i="1"/>
  <c r="G1372" i="1"/>
  <c r="G114" i="1"/>
  <c r="G167" i="1"/>
  <c r="G831" i="1"/>
  <c r="G1261" i="1"/>
  <c r="G719" i="1"/>
  <c r="G237" i="1"/>
  <c r="G1490" i="1"/>
  <c r="G783" i="1"/>
  <c r="G1491" i="1"/>
  <c r="G51" i="1"/>
  <c r="G651" i="1"/>
  <c r="G895" i="1"/>
  <c r="G52" i="1"/>
  <c r="G1373" i="1"/>
  <c r="G1201" i="1"/>
  <c r="G652" i="1"/>
  <c r="G53" i="1"/>
  <c r="G653" i="1"/>
  <c r="G1028" i="1"/>
  <c r="G1078" i="1"/>
  <c r="G720" i="1"/>
  <c r="G168" i="1"/>
  <c r="G1374" i="1"/>
  <c r="G238" i="1"/>
  <c r="G1202" i="1"/>
  <c r="G1139" i="1"/>
  <c r="G654" i="1"/>
  <c r="G1203" i="1"/>
  <c r="G721" i="1"/>
  <c r="G784" i="1"/>
  <c r="G832" i="1"/>
  <c r="G1321" i="1"/>
  <c r="G1375" i="1"/>
  <c r="G1262" i="1"/>
  <c r="G896" i="1"/>
  <c r="G1322" i="1"/>
  <c r="G1376" i="1"/>
  <c r="G1029" i="1"/>
  <c r="G722" i="1"/>
  <c r="G723" i="1"/>
  <c r="G956" i="1"/>
  <c r="G115" i="1"/>
  <c r="G54" i="1"/>
  <c r="G1323" i="1"/>
  <c r="G1079" i="1"/>
  <c r="G169" i="1"/>
  <c r="G1030" i="1"/>
  <c r="G55" i="1"/>
  <c r="G724" i="1"/>
  <c r="G785" i="1"/>
  <c r="G786" i="1"/>
  <c r="G725" i="1"/>
  <c r="G726" i="1"/>
  <c r="G1031" i="1"/>
  <c r="G833" i="1"/>
  <c r="G1377" i="1"/>
  <c r="G1204" i="1"/>
  <c r="G1032" i="1"/>
  <c r="G1080" i="1"/>
  <c r="G1492" i="1"/>
  <c r="G1324" i="1"/>
  <c r="G1437" i="1"/>
  <c r="G655" i="1"/>
  <c r="G1140" i="1"/>
  <c r="G1205" i="1"/>
  <c r="G656" i="1"/>
  <c r="G1033" i="1"/>
  <c r="G116" i="1"/>
  <c r="G1263" i="1"/>
  <c r="G1493" i="1"/>
  <c r="G1438" i="1"/>
  <c r="G1141" i="1"/>
  <c r="G1142" i="1"/>
  <c r="G1264" i="1"/>
  <c r="G957" i="1"/>
  <c r="G1378" i="1"/>
  <c r="G1379" i="1"/>
  <c r="G56" i="1"/>
  <c r="G958" i="1"/>
  <c r="G834" i="1"/>
  <c r="G1034" i="1"/>
  <c r="G57" i="1"/>
  <c r="G239" i="1"/>
  <c r="G1380" i="1"/>
  <c r="G1035" i="1"/>
  <c r="G1381" i="1"/>
  <c r="G1036" i="1"/>
  <c r="G959" i="1"/>
  <c r="G1439" i="1"/>
  <c r="G1081" i="1"/>
  <c r="G727" i="1"/>
  <c r="G657" i="1"/>
  <c r="G240" i="1"/>
  <c r="G1082" i="1"/>
  <c r="G728" i="1"/>
  <c r="G1206" i="1"/>
  <c r="G1143" i="1"/>
  <c r="G835" i="1"/>
  <c r="G836" i="1"/>
  <c r="G897" i="1"/>
  <c r="G1037" i="1"/>
  <c r="G1265" i="1"/>
  <c r="G58" i="1"/>
  <c r="G837" i="1"/>
  <c r="G1266" i="1"/>
  <c r="G1494" i="1"/>
  <c r="G59" i="1"/>
  <c r="G1144" i="1"/>
  <c r="G898" i="1"/>
  <c r="G1145" i="1"/>
  <c r="G960" i="1"/>
  <c r="G729" i="1"/>
  <c r="G899" i="1"/>
  <c r="G787" i="1"/>
  <c r="G900" i="1"/>
  <c r="G117" i="1"/>
  <c r="G788" i="1"/>
  <c r="G1267" i="1"/>
  <c r="G838" i="1"/>
  <c r="G839" i="1"/>
  <c r="G840" i="1"/>
  <c r="G1268" i="1"/>
  <c r="G1325" i="1"/>
  <c r="G1440" i="1"/>
  <c r="G1083" i="1"/>
  <c r="G961" i="1"/>
  <c r="G1207" i="1"/>
  <c r="G118" i="1"/>
  <c r="G841" i="1"/>
  <c r="G1084" i="1"/>
  <c r="G1326" i="1"/>
  <c r="G1269" i="1"/>
  <c r="G1146" i="1"/>
  <c r="G842" i="1"/>
  <c r="G241" i="1"/>
  <c r="G1382" i="1"/>
  <c r="G962" i="1"/>
  <c r="G1208" i="1"/>
  <c r="G170" i="1"/>
  <c r="G1441" i="1"/>
  <c r="G1147" i="1"/>
  <c r="G789" i="1"/>
  <c r="G1327" i="1"/>
  <c r="G60" i="1"/>
  <c r="G242" i="1"/>
  <c r="G243" i="1"/>
  <c r="G658" i="1"/>
  <c r="G244" i="1"/>
  <c r="G901" i="1"/>
  <c r="G171" i="1"/>
  <c r="G172" i="1"/>
  <c r="G1442" i="1"/>
  <c r="G1148" i="1"/>
  <c r="G119" i="1"/>
  <c r="G1149" i="1"/>
  <c r="G61" i="1"/>
  <c r="G843" i="1"/>
  <c r="G173" i="1"/>
  <c r="G1443" i="1"/>
  <c r="G963" i="1"/>
  <c r="G1383" i="1"/>
  <c r="G245" i="1"/>
  <c r="G1444" i="1"/>
  <c r="G1085" i="1"/>
  <c r="G120" i="1"/>
  <c r="G1495" i="1"/>
  <c r="G246" i="1"/>
  <c r="G1150" i="1"/>
  <c r="G1151" i="1"/>
  <c r="G62" i="1"/>
  <c r="G902" i="1"/>
  <c r="G174" i="1"/>
  <c r="G121" i="1"/>
  <c r="G730" i="1"/>
  <c r="G1496" i="1"/>
  <c r="G1152" i="1"/>
  <c r="G659" i="1"/>
  <c r="G1497" i="1"/>
  <c r="G731" i="1"/>
  <c r="G732" i="1"/>
  <c r="G1328" i="1"/>
  <c r="G1270" i="1"/>
  <c r="G733" i="1"/>
  <c r="G63" i="1"/>
  <c r="G1329" i="1"/>
  <c r="G1038" i="1"/>
  <c r="G1498" i="1"/>
  <c r="G1445" i="1"/>
  <c r="G1446" i="1"/>
  <c r="G660" i="1"/>
  <c r="G903" i="1"/>
  <c r="G734" i="1"/>
  <c r="G1086" i="1"/>
  <c r="G964" i="1"/>
  <c r="G790" i="1"/>
  <c r="G1039" i="1"/>
  <c r="G904" i="1"/>
  <c r="G247" i="1"/>
  <c r="G965" i="1"/>
  <c r="G1040" i="1"/>
  <c r="G905" i="1"/>
  <c r="G1447" i="1"/>
  <c r="G64" i="1"/>
  <c r="G1087" i="1"/>
  <c r="G661" i="1"/>
  <c r="G175" i="1"/>
  <c r="G1330" i="1"/>
  <c r="G1448" i="1"/>
  <c r="G1331" i="1"/>
  <c r="G176" i="1"/>
  <c r="G248" i="1"/>
  <c r="G1384" i="1"/>
  <c r="G1209" i="1"/>
  <c r="G662" i="1"/>
  <c r="G122" i="1"/>
  <c r="G65" i="1"/>
  <c r="G844" i="1"/>
  <c r="G1088" i="1"/>
  <c r="G906" i="1"/>
  <c r="G249" i="1"/>
  <c r="G907" i="1"/>
  <c r="G1332" i="1"/>
  <c r="Q9" i="11" l="1"/>
  <c r="Q8" i="11"/>
  <c r="Q7" i="11"/>
  <c r="Q6" i="11"/>
  <c r="Q5" i="11"/>
  <c r="O12" i="11"/>
  <c r="O19" i="11"/>
  <c r="O11" i="11"/>
  <c r="O20" i="11"/>
  <c r="O18" i="11"/>
  <c r="O10" i="11"/>
  <c r="O17" i="11"/>
  <c r="O9" i="11"/>
  <c r="O16" i="11"/>
  <c r="O8" i="11"/>
  <c r="O23" i="11"/>
  <c r="O15" i="11"/>
  <c r="O7" i="11"/>
  <c r="O22" i="11"/>
  <c r="O14" i="11"/>
  <c r="O6" i="11"/>
  <c r="O21" i="11"/>
  <c r="O13" i="11"/>
  <c r="O5" i="11"/>
  <c r="S5" i="11" l="1"/>
  <c r="S7" i="11"/>
  <c r="S8" i="11"/>
  <c r="S6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22C7E-401C-4FD4-AE8C-2692490F092A}" keepAlive="1" name="ThisWorkbookDataModel" description="Modelo de dat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2F77D5B-D7F3-4189-A647-3779606FFE3D}" name="WorksheetConnection_tablas dinamicas.xlsx!Tabla1" type="102" refreshedVersion="7" minRefreshableVersion="5">
    <extLst>
      <ext xmlns:x15="http://schemas.microsoft.com/office/spreadsheetml/2010/11/main" uri="{DE250136-89BD-433C-8126-D09CA5730AF9}">
        <x15:connection id="Tabla1">
          <x15:rangePr sourceName="_xlcn.WorksheetConnection_tablasdinamicas.xlsxTabla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<sst xmlns="http://schemas.openxmlformats.org/spreadsheetml/2006/main" count="4599" uniqueCount="56">
  <si>
    <t>Fecha</t>
  </si>
  <si>
    <t>Cantidad</t>
  </si>
  <si>
    <t>Precio</t>
  </si>
  <si>
    <t>Total</t>
  </si>
  <si>
    <t>Madrid</t>
  </si>
  <si>
    <t>Sevilla</t>
  </si>
  <si>
    <t>Huelva</t>
  </si>
  <si>
    <t>Jaen</t>
  </si>
  <si>
    <t>Cordoba</t>
  </si>
  <si>
    <t>Malaga</t>
  </si>
  <si>
    <t>Granada</t>
  </si>
  <si>
    <t>Albacete</t>
  </si>
  <si>
    <t>Cadiz</t>
  </si>
  <si>
    <t>Zaragoza</t>
  </si>
  <si>
    <t>Murcia</t>
  </si>
  <si>
    <t>Asturias</t>
  </si>
  <si>
    <t>Tarragona</t>
  </si>
  <si>
    <t>Almeria</t>
  </si>
  <si>
    <t>Toledo</t>
  </si>
  <si>
    <t>Badajoz</t>
  </si>
  <si>
    <t>Valladolid</t>
  </si>
  <si>
    <t>Leon</t>
  </si>
  <si>
    <t>Lerida</t>
  </si>
  <si>
    <t>Caceres</t>
  </si>
  <si>
    <t>El corte ingles</t>
  </si>
  <si>
    <t>Carrefour</t>
  </si>
  <si>
    <t>Metromar</t>
  </si>
  <si>
    <t>C.C. Nervion</t>
  </si>
  <si>
    <t>Supermercados MAS</t>
  </si>
  <si>
    <t>C.C. Vicar</t>
  </si>
  <si>
    <t>Lavadora 8 Kg</t>
  </si>
  <si>
    <t>Frigorifico</t>
  </si>
  <si>
    <t>Aspiradora</t>
  </si>
  <si>
    <t>Home Cinema</t>
  </si>
  <si>
    <t>Provincia</t>
  </si>
  <si>
    <t>Centro</t>
  </si>
  <si>
    <t>Producto</t>
  </si>
  <si>
    <t>TV 32 pulgadas</t>
  </si>
  <si>
    <t>Etiquetas de fila</t>
  </si>
  <si>
    <t>Suma de Cantidad</t>
  </si>
  <si>
    <t>C:Comercial</t>
  </si>
  <si>
    <t>Row Labels</t>
  </si>
  <si>
    <t>Grand Total</t>
  </si>
  <si>
    <t>Column Labels</t>
  </si>
  <si>
    <t>Sum of Cantidad</t>
  </si>
  <si>
    <t>Years (Fecha)</t>
  </si>
  <si>
    <t>2010</t>
  </si>
  <si>
    <t>2011</t>
  </si>
  <si>
    <t>2012</t>
  </si>
  <si>
    <t>2013</t>
  </si>
  <si>
    <t>2014</t>
  </si>
  <si>
    <t>Aspiradora Total</t>
  </si>
  <si>
    <t>Frigorifico Total</t>
  </si>
  <si>
    <t>Home Cinema Total</t>
  </si>
  <si>
    <t>Lavadora 8 Kg Total</t>
  </si>
  <si>
    <t>TV 32 pulgadas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</si>
</sst>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" fontId="0" fillId="0" borderId="0" xfId="0" applyNumberFormat="1"/>
    <xf numFmtId="1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Font="1" applyFill="1" applyBorder="1"/>
    <xf numFmtId="14" fontId="0" fillId="0" borderId="0" xfId="0" applyNumberFormat="1" applyFont="1" applyFill="1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ont>
        <color theme="0"/>
      </font>
      <fill>
        <patternFill>
          <bgColor theme="8" tint="-0.499984740745262"/>
        </patternFill>
      </fill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Estilo de escala de tiempo 1" pivot="0" table="0" count="8" xr9:uid="{CBAA518E-D8E0-4130-8031-019DCC8C1F16}">
      <tableStyleElement type="wholeTable" dxfId="2"/>
      <tableStyleElement type="headerRow" dxfId="1"/>
    </tableStyle>
    <tableStyle name="Estilo de tabla dinámica 1" table="0" count="1" xr9:uid="{ACEA3960-19FA-4BAE-8187-D5A2B7B6C919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9" tint="-0.499984740745262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[tablas^Mdinamicas.xlsx]td!TablaDinámica1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A-4711-B651-6E41406BA5C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A-4711-B651-6E41406BA5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A-4711-B651-6E41406BA5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A-4711-B651-6E41406BA5C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3A-4711-B651-6E41406BA5C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3A-4711-B651-6E41406BA5C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3A-4711-B651-6E41406BA5C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3A-4711-B651-6E41406BA5C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3A-4711-B651-6E41406BA5C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3A-4711-B651-6E41406BA5C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3A-4711-B651-6E41406BA5C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3A-4711-B651-6E41406BA5C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3A-4711-B651-6E41406BA5C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3A-4711-B651-6E41406BA5C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63A-4711-B651-6E41406BA5C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63A-4711-B651-6E41406BA5C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63A-4711-B651-6E41406BA5C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63A-4711-B651-6E41406BA5C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63A-4711-B651-6E41406BA5C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63A-4711-B651-6E41406BA5C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td!$A$4:$A$23</c:f>
              <c:strCache>
                <c:ptCount val="20"/>
                <c:pt idx="0">
                  <c:v>Albacete</c:v>
                </c:pt>
                <c:pt idx="1">
                  <c:v>Almeria</c:v>
                </c:pt>
                <c:pt idx="2">
                  <c:v>Asturias</c:v>
                </c:pt>
                <c:pt idx="3">
                  <c:v>Badajoz</c:v>
                </c:pt>
                <c:pt idx="4">
                  <c:v>Caceres</c:v>
                </c:pt>
                <c:pt idx="5">
                  <c:v>Cadiz</c:v>
                </c:pt>
                <c:pt idx="6">
                  <c:v>Cordoba</c:v>
                </c:pt>
                <c:pt idx="7">
                  <c:v>Granada</c:v>
                </c:pt>
                <c:pt idx="8">
                  <c:v>Huelva</c:v>
                </c:pt>
                <c:pt idx="9">
                  <c:v>Jaen</c:v>
                </c:pt>
                <c:pt idx="10">
                  <c:v>Leon</c:v>
                </c:pt>
                <c:pt idx="11">
                  <c:v>Lerida</c:v>
                </c:pt>
                <c:pt idx="12">
                  <c:v>Madrid</c:v>
                </c:pt>
                <c:pt idx="13">
                  <c:v>Malaga</c:v>
                </c:pt>
                <c:pt idx="14">
                  <c:v>Murcia</c:v>
                </c:pt>
                <c:pt idx="15">
                  <c:v>Sevilla</c:v>
                </c:pt>
                <c:pt idx="16">
                  <c:v>Tarragona</c:v>
                </c:pt>
                <c:pt idx="17">
                  <c:v>Toledo</c:v>
                </c:pt>
                <c:pt idx="18">
                  <c:v>Valladolid</c:v>
                </c:pt>
                <c:pt idx="19">
                  <c:v>Zaragoza</c:v>
                </c:pt>
              </c:strCache>
            </c:strRef>
          </c:cat>
          <c:val>
            <c:numRef>
              <c:f>td!$B$4:$B$23</c:f>
              <c:numCache>
                <c:formatCode>0</c:formatCode>
                <c:ptCount val="20"/>
                <c:pt idx="0">
                  <c:v>3061</c:v>
                </c:pt>
                <c:pt idx="1">
                  <c:v>2814</c:v>
                </c:pt>
                <c:pt idx="2">
                  <c:v>4031</c:v>
                </c:pt>
                <c:pt idx="3">
                  <c:v>3232</c:v>
                </c:pt>
                <c:pt idx="4">
                  <c:v>2601</c:v>
                </c:pt>
                <c:pt idx="5">
                  <c:v>2961</c:v>
                </c:pt>
                <c:pt idx="6">
                  <c:v>7830.6781478140365</c:v>
                </c:pt>
                <c:pt idx="7">
                  <c:v>3919</c:v>
                </c:pt>
                <c:pt idx="8">
                  <c:v>7607.5919471122334</c:v>
                </c:pt>
                <c:pt idx="9">
                  <c:v>6313.764646664612</c:v>
                </c:pt>
                <c:pt idx="10">
                  <c:v>2751</c:v>
                </c:pt>
                <c:pt idx="11">
                  <c:v>2809</c:v>
                </c:pt>
                <c:pt idx="12">
                  <c:v>3064</c:v>
                </c:pt>
                <c:pt idx="13">
                  <c:v>904.61914610208396</c:v>
                </c:pt>
                <c:pt idx="14">
                  <c:v>3236</c:v>
                </c:pt>
                <c:pt idx="15">
                  <c:v>10760.359354358216</c:v>
                </c:pt>
                <c:pt idx="16">
                  <c:v>2452</c:v>
                </c:pt>
                <c:pt idx="17">
                  <c:v>3428</c:v>
                </c:pt>
                <c:pt idx="18">
                  <c:v>3275</c:v>
                </c:pt>
                <c:pt idx="19">
                  <c:v>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78F-4D7D-A93C-F07F21A28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3429936"/>
        <c:axId val="2063433680"/>
      </c:barChart>
      <c:valAx>
        <c:axId val="206343368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3429936"/>
        <c:crosses val="autoZero"/>
        <c:crossBetween val="between"/>
      </c:valAx>
      <c:catAx>
        <c:axId val="2063429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343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[tablas^Mdinamicas.xlsx]td!TablaDinámica2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C-4866-A0B2-671FC39F33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C-4866-A0B2-671FC39F33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3C-4866-A0B2-671FC39F33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3C-4866-A0B2-671FC39F33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3C-4866-A0B2-671FC39F33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3C-4866-A0B2-671FC39F333C}"/>
              </c:ext>
            </c:extLst>
          </c:dPt>
          <c:cat>
            <c:strRef>
              <c:f>td!$E$4:$E$9</c:f>
              <c:strCache>
                <c:ptCount val="6"/>
                <c:pt idx="0">
                  <c:v>C.C. Nervion</c:v>
                </c:pt>
                <c:pt idx="1">
                  <c:v>C.C. Vicar</c:v>
                </c:pt>
                <c:pt idx="2">
                  <c:v>Carrefour</c:v>
                </c:pt>
                <c:pt idx="3">
                  <c:v>El corte ingles</c:v>
                </c:pt>
                <c:pt idx="4">
                  <c:v>Metromar</c:v>
                </c:pt>
                <c:pt idx="5">
                  <c:v>Supermercados MAS</c:v>
                </c:pt>
              </c:strCache>
            </c:strRef>
          </c:cat>
          <c:val>
            <c:numRef>
              <c:f>td!$F$4:$F$9</c:f>
              <c:numCache>
                <c:formatCode>0</c:formatCode>
                <c:ptCount val="6"/>
                <c:pt idx="0">
                  <c:v>8658.8593328549159</c:v>
                </c:pt>
                <c:pt idx="1">
                  <c:v>21044.861205407364</c:v>
                </c:pt>
                <c:pt idx="2">
                  <c:v>18180.352227460822</c:v>
                </c:pt>
                <c:pt idx="3">
                  <c:v>13285.986485702837</c:v>
                </c:pt>
                <c:pt idx="4">
                  <c:v>13475.502770147843</c:v>
                </c:pt>
                <c:pt idx="5">
                  <c:v>5830.4512204773928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3C-4866-A0B2-671FC39F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[tablas^Mdinamicas.xlsx]td!TablaDinámica3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DE-4AB7-8DD8-F2F5179F4E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DE-4AB7-8DD8-F2F5179F4E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DE-4AB7-8DD8-F2F5179F4E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DE-4AB7-8DD8-F2F5179F4E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DE-4AB7-8DD8-F2F5179F4E04}"/>
              </c:ext>
            </c:extLst>
          </c:dPt>
          <c:cat>
            <c:strRef>
              <c:f>td!$I$4:$I$8</c:f>
              <c:strCache>
                <c:ptCount val="5"/>
                <c:pt idx="0">
                  <c:v>Aspiradora</c:v>
                </c:pt>
                <c:pt idx="1">
                  <c:v>Frigorifico</c:v>
                </c:pt>
                <c:pt idx="2">
                  <c:v>Home Cinema</c:v>
                </c:pt>
                <c:pt idx="3">
                  <c:v>Lavadora 8 Kg</c:v>
                </c:pt>
                <c:pt idx="4">
                  <c:v>TV 32 pulgadas</c:v>
                </c:pt>
              </c:strCache>
            </c:strRef>
          </c:cat>
          <c:val>
            <c:numRef>
              <c:f>td!$J$4:$J$8</c:f>
              <c:numCache>
                <c:formatCode>0</c:formatCode>
                <c:ptCount val="5"/>
                <c:pt idx="0">
                  <c:v>25869.849284535863</c:v>
                </c:pt>
                <c:pt idx="1">
                  <c:v>22236.790972137052</c:v>
                </c:pt>
                <c:pt idx="2">
                  <c:v>10788.185349698513</c:v>
                </c:pt>
                <c:pt idx="3">
                  <c:v>7319.2650418465419</c:v>
                </c:pt>
                <c:pt idx="4">
                  <c:v>14261.922593833213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DE-4AB7-8DD8-F2F5179F4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1</xdr:row>
      <xdr:rowOff>0</xdr:rowOff>
    </xdr:from>
    <xdr:to>
      <xdr:col>3</xdr:col>
      <xdr:colOff>337185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ias">
              <a:extLst>
                <a:ext uri="{FF2B5EF4-FFF2-40B4-BE49-F238E27FC236}">
                  <a16:creationId xmlns:a16="http://schemas.microsoft.com/office/drawing/2014/main" id="{20895547-230E-4F17-9409-8DC15353CB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425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14</xdr:row>
      <xdr:rowOff>180975</xdr:rowOff>
    </xdr:from>
    <xdr:to>
      <xdr:col>3</xdr:col>
      <xdr:colOff>304800</xdr:colOff>
      <xdr:row>21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">
              <a:extLst>
                <a:ext uri="{FF2B5EF4-FFF2-40B4-BE49-F238E27FC236}">
                  <a16:creationId xmlns:a16="http://schemas.microsoft.com/office/drawing/2014/main" id="{CF1B0577-0871-43B4-A08C-E4D922AF21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2847975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752475</xdr:colOff>
      <xdr:row>22</xdr:row>
      <xdr:rowOff>9525</xdr:rowOff>
    </xdr:from>
    <xdr:to>
      <xdr:col>3</xdr:col>
      <xdr:colOff>333375</xdr:colOff>
      <xdr:row>28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o">
              <a:extLst>
                <a:ext uri="{FF2B5EF4-FFF2-40B4-BE49-F238E27FC236}">
                  <a16:creationId xmlns:a16="http://schemas.microsoft.com/office/drawing/2014/main" id="{7E699B12-120C-4120-B81B-702E79B255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475" y="4200525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742949</xdr:colOff>
      <xdr:row>0</xdr:row>
      <xdr:rowOff>190499</xdr:rowOff>
    </xdr:from>
    <xdr:to>
      <xdr:col>8</xdr:col>
      <xdr:colOff>466724</xdr:colOff>
      <xdr:row>30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68F4DD-50E2-4F5E-B425-E4713FF05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180975</xdr:rowOff>
    </xdr:from>
    <xdr:to>
      <xdr:col>12</xdr:col>
      <xdr:colOff>438150</xdr:colOff>
      <xdr:row>15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1FA6169-EE1D-4E28-8A59-31788930A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15</xdr:row>
      <xdr:rowOff>171450</xdr:rowOff>
    </xdr:from>
    <xdr:to>
      <xdr:col>12</xdr:col>
      <xdr:colOff>476250</xdr:colOff>
      <xdr:row>30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ED9B010-88EF-4FBC-A823-F192C8B1A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219075</xdr:colOff>
      <xdr:row>15</xdr:row>
      <xdr:rowOff>76200</xdr:rowOff>
    </xdr:from>
    <xdr:to>
      <xdr:col>12</xdr:col>
      <xdr:colOff>457200</xdr:colOff>
      <xdr:row>15</xdr:row>
      <xdr:rowOff>76200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910718AC-017E-4314-A765-5252BB6D3157}"/>
            </a:ext>
          </a:extLst>
        </xdr:cNvPr>
        <xdr:cNvCxnSpPr/>
      </xdr:nvCxnSpPr>
      <xdr:spPr>
        <a:xfrm>
          <a:off x="7077075" y="2933700"/>
          <a:ext cx="2524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Ángel Franco García" refreshedDate="44472.712494212959" createdVersion="7" refreshedVersion="7" minRefreshableVersion="3" recordCount="1497" xr:uid="{2205938E-8114-4CC4-A976-6ACB1BBB793F}">
  <cacheSource type="worksheet">
    <worksheetSource ref="A1:G1498" sheet="DATOS"/>
  </cacheSource>
  <cacheFields count="7">
    <cacheField name="Fecha" numFmtId="14">
      <sharedItems containsSemiMixedTypes="0" containsNonDate="0" containsDate="1" containsString="0" minDate="2010-01-03T00:00:00" maxDate="2015-01-01T00:00:00"/>
    </cacheField>
    <cacheField name="Provincia" numFmtId="0">
      <sharedItems count="20">
        <s v="Sevilla"/>
        <s v="Huelva"/>
        <s v="Jaen"/>
        <s v="Cordoba"/>
        <s v="Malaga"/>
        <s v="Granada"/>
        <s v="Madrid"/>
        <s v="Albacete"/>
        <s v="Cadiz"/>
        <s v="Zaragoza"/>
        <s v="Murcia"/>
        <s v="Asturias"/>
        <s v="Tarragona"/>
        <s v="Almeria"/>
        <s v="Toledo"/>
        <s v="Badajoz"/>
        <s v="Valladolid"/>
        <s v="Leon"/>
        <s v="Lerida"/>
        <s v="Caceres"/>
      </sharedItems>
    </cacheField>
    <cacheField name="Centro" numFmtId="0">
      <sharedItems count="6">
        <s v="El corte ingles"/>
        <s v="C.C. Nervion"/>
        <s v="Supermercados MAS"/>
        <s v="Metromar"/>
        <s v="C.C. Vicar"/>
        <s v="Carrefour"/>
      </sharedItems>
    </cacheField>
    <cacheField name="Producto" numFmtId="0">
      <sharedItems count="5">
        <s v="Home Cinema"/>
        <s v="TV 32 pulgadas"/>
        <s v="Frigorifico"/>
        <s v="Aspiradora"/>
        <s v="Lavadora 8 Kg"/>
      </sharedItems>
    </cacheField>
    <cacheField name="Cantidad" numFmtId="0">
      <sharedItems containsSemiMixedTypes="0" containsString="0" containsNumber="1" minValue="1" maxValue="295"/>
    </cacheField>
    <cacheField name="Precio" numFmtId="0">
      <sharedItems containsSemiMixedTypes="0" containsString="0" containsNumber="1" minValue="450" maxValue="1200"/>
    </cacheField>
    <cacheField name="Total" numFmtId="0">
      <sharedItems containsSemiMixedTypes="0" containsString="0" containsNumber="1" minValue="450" maxValue="336000"/>
    </cacheField>
  </cacheFields>
  <extLst>
    <ext xmlns:x14="http://schemas.microsoft.com/office/spreadsheetml/2009/9/main" uri="{725AE2AE-9491-48be-B2B4-4EB974FC3084}">
      <x14:pivotCacheDefinition pivotCacheId="127733592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rrandro Ferreira" refreshedDate="46258.67339236111" createdVersion="8" refreshedVersion="8" minRefreshableVersion="3" recordCount="1496" xr:uid="{10B9B6DD-E4FE-443C-927A-484D7B235C5F}">
  <cacheSource type="worksheet">
    <worksheetSource ref="A1:G1497" sheet="DATOS"/>
  </cacheSource>
  <cacheFields count="10">
    <cacheField name="Fecha" numFmtId="14">
      <sharedItems containsSemiMixedTypes="0" containsNonDate="0" containsDate="1" containsString="0" minDate="2010-01-03T00:00:00" maxDate="2015-01-01T00:00:00" count="1018">
        <d v="2012-09-16T00:00:00"/>
        <d v="2011-05-11T00:00:00"/>
        <d v="2012-08-22T00:00:00"/>
        <d v="2012-05-21T00:00:00"/>
        <d v="2013-04-01T00:00:00"/>
        <d v="2013-09-25T00:00:00"/>
        <d v="2013-02-27T00:00:00"/>
        <d v="2013-07-13T00:00:00"/>
        <d v="2014-12-08T00:00:00"/>
        <d v="2014-09-20T00:00:00"/>
        <d v="2012-08-15T00:00:00"/>
        <d v="2011-01-07T00:00:00"/>
        <d v="2012-11-10T00:00:00"/>
        <d v="2012-11-22T00:00:00"/>
        <d v="2013-11-01T00:00:00"/>
        <d v="2014-12-17T00:00:00"/>
        <d v="2010-02-21T00:00:00"/>
        <d v="2014-06-03T00:00:00"/>
        <d v="2014-05-12T00:00:00"/>
        <d v="2012-04-16T00:00:00"/>
        <d v="2010-12-08T00:00:00"/>
        <d v="2011-03-17T00:00:00"/>
        <d v="2010-06-17T00:00:00"/>
        <d v="2012-03-03T00:00:00"/>
        <d v="2010-12-22T00:00:00"/>
        <d v="2012-05-23T00:00:00"/>
        <d v="2010-10-14T00:00:00"/>
        <d v="2014-06-06T00:00:00"/>
        <d v="2010-12-12T00:00:00"/>
        <d v="2014-12-03T00:00:00"/>
        <d v="2010-06-05T00:00:00"/>
        <d v="2010-12-27T00:00:00"/>
        <d v="2012-10-28T00:00:00"/>
        <d v="2011-09-09T00:00:00"/>
        <d v="2011-09-19T00:00:00"/>
        <d v="2014-03-14T00:00:00"/>
        <d v="2012-12-30T00:00:00"/>
        <d v="2012-11-20T00:00:00"/>
        <d v="2013-03-17T00:00:00"/>
        <d v="2014-05-22T00:00:00"/>
        <d v="2012-04-25T00:00:00"/>
        <d v="2014-08-31T00:00:00"/>
        <d v="2011-06-19T00:00:00"/>
        <d v="2010-04-24T00:00:00"/>
        <d v="2013-05-17T00:00:00"/>
        <d v="2010-10-10T00:00:00"/>
        <d v="2010-08-10T00:00:00"/>
        <d v="2012-02-06T00:00:00"/>
        <d v="2013-10-02T00:00:00"/>
        <d v="2012-06-28T00:00:00"/>
        <d v="2014-02-02T00:00:00"/>
        <d v="2013-10-22T00:00:00"/>
        <d v="2012-01-03T00:00:00"/>
        <d v="2013-08-23T00:00:00"/>
        <d v="2012-06-06T00:00:00"/>
        <d v="2014-01-07T00:00:00"/>
        <d v="2011-05-12T00:00:00"/>
        <d v="2013-12-26T00:00:00"/>
        <d v="2011-10-26T00:00:00"/>
        <d v="2014-07-07T00:00:00"/>
        <d v="2012-08-23T00:00:00"/>
        <d v="2011-12-09T00:00:00"/>
        <d v="2013-10-10T00:00:00"/>
        <d v="2013-10-11T00:00:00"/>
        <d v="2010-01-22T00:00:00"/>
        <d v="2014-08-10T00:00:00"/>
        <d v="2012-01-05T00:00:00"/>
        <d v="2012-01-18T00:00:00"/>
        <d v="2014-04-25T00:00:00"/>
        <d v="2011-01-18T00:00:00"/>
        <d v="2010-06-25T00:00:00"/>
        <d v="2014-05-30T00:00:00"/>
        <d v="2013-10-09T00:00:00"/>
        <d v="2013-08-26T00:00:00"/>
        <d v="2010-03-07T00:00:00"/>
        <d v="2013-05-20T00:00:00"/>
        <d v="2010-08-31T00:00:00"/>
        <d v="2010-12-01T00:00:00"/>
        <d v="2010-07-21T00:00:00"/>
        <d v="2013-04-19T00:00:00"/>
        <d v="2011-08-02T00:00:00"/>
        <d v="2010-09-20T00:00:00"/>
        <d v="2012-08-21T00:00:00"/>
        <d v="2010-09-11T00:00:00"/>
        <d v="2013-05-09T00:00:00"/>
        <d v="2014-03-13T00:00:00"/>
        <d v="2010-03-16T00:00:00"/>
        <d v="2012-03-27T00:00:00"/>
        <d v="2012-06-13T00:00:00"/>
        <d v="2013-12-18T00:00:00"/>
        <d v="2012-01-01T00:00:00"/>
        <d v="2010-03-04T00:00:00"/>
        <d v="2010-05-13T00:00:00"/>
        <d v="2010-02-07T00:00:00"/>
        <d v="2014-11-17T00:00:00"/>
        <d v="2013-10-01T00:00:00"/>
        <d v="2012-02-24T00:00:00"/>
        <d v="2011-04-18T00:00:00"/>
        <d v="2011-07-23T00:00:00"/>
        <d v="2014-07-24T00:00:00"/>
        <d v="2012-02-17T00:00:00"/>
        <d v="2011-10-01T00:00:00"/>
        <d v="2010-04-04T00:00:00"/>
        <d v="2014-06-04T00:00:00"/>
        <d v="2013-09-04T00:00:00"/>
        <d v="2012-07-01T00:00:00"/>
        <d v="2010-07-31T00:00:00"/>
        <d v="2011-12-20T00:00:00"/>
        <d v="2013-10-17T00:00:00"/>
        <d v="2013-01-10T00:00:00"/>
        <d v="2013-03-13T00:00:00"/>
        <d v="2013-10-20T00:00:00"/>
        <d v="2013-03-12T00:00:00"/>
        <d v="2010-04-14T00:00:00"/>
        <d v="2012-10-10T00:00:00"/>
        <d v="2014-06-01T00:00:00"/>
        <d v="2012-06-30T00:00:00"/>
        <d v="2012-02-12T00:00:00"/>
        <d v="2011-04-25T00:00:00"/>
        <d v="2011-06-14T00:00:00"/>
        <d v="2011-06-25T00:00:00"/>
        <d v="2012-01-22T00:00:00"/>
        <d v="2013-07-31T00:00:00"/>
        <d v="2014-04-18T00:00:00"/>
        <d v="2012-04-11T00:00:00"/>
        <d v="2013-11-03T00:00:00"/>
        <d v="2012-03-23T00:00:00"/>
        <d v="2013-02-03T00:00:00"/>
        <d v="2011-06-07T00:00:00"/>
        <d v="2010-06-28T00:00:00"/>
        <d v="2013-09-21T00:00:00"/>
        <d v="2014-09-24T00:00:00"/>
        <d v="2012-09-23T00:00:00"/>
        <d v="2011-03-31T00:00:00"/>
        <d v="2010-02-04T00:00:00"/>
        <d v="2014-10-09T00:00:00"/>
        <d v="2012-09-14T00:00:00"/>
        <d v="2012-12-16T00:00:00"/>
        <d v="2014-05-20T00:00:00"/>
        <d v="2013-02-08T00:00:00"/>
        <d v="2010-10-04T00:00:00"/>
        <d v="2014-09-12T00:00:00"/>
        <d v="2011-05-10T00:00:00"/>
        <d v="2010-04-12T00:00:00"/>
        <d v="2014-06-27T00:00:00"/>
        <d v="2012-02-21T00:00:00"/>
        <d v="2014-09-23T00:00:00"/>
        <d v="2014-06-29T00:00:00"/>
        <d v="2011-02-02T00:00:00"/>
        <d v="2013-11-13T00:00:00"/>
        <d v="2014-07-02T00:00:00"/>
        <d v="2011-06-28T00:00:00"/>
        <d v="2013-11-23T00:00:00"/>
        <d v="2010-09-09T00:00:00"/>
        <d v="2013-07-17T00:00:00"/>
        <d v="2012-01-31T00:00:00"/>
        <d v="2010-09-08T00:00:00"/>
        <d v="2013-03-27T00:00:00"/>
        <d v="2014-03-12T00:00:00"/>
        <d v="2014-11-14T00:00:00"/>
        <d v="2011-09-27T00:00:00"/>
        <d v="2014-01-23T00:00:00"/>
        <d v="2010-10-25T00:00:00"/>
        <d v="2013-08-14T00:00:00"/>
        <d v="2013-08-21T00:00:00"/>
        <d v="2011-02-24T00:00:00"/>
        <d v="2010-04-02T00:00:00"/>
        <d v="2011-05-02T00:00:00"/>
        <d v="2014-10-06T00:00:00"/>
        <d v="2012-03-04T00:00:00"/>
        <d v="2011-10-02T00:00:00"/>
        <d v="2012-01-04T00:00:00"/>
        <d v="2013-09-27T00:00:00"/>
        <d v="2014-10-08T00:00:00"/>
        <d v="2011-07-31T00:00:00"/>
        <d v="2014-05-17T00:00:00"/>
        <d v="2014-09-26T00:00:00"/>
        <d v="2014-02-24T00:00:00"/>
        <d v="2012-10-22T00:00:00"/>
        <d v="2011-05-09T00:00:00"/>
        <d v="2013-05-10T00:00:00"/>
        <d v="2014-03-08T00:00:00"/>
        <d v="2013-10-28T00:00:00"/>
        <d v="2014-09-03T00:00:00"/>
        <d v="2012-08-14T00:00:00"/>
        <d v="2013-08-08T00:00:00"/>
        <d v="2010-06-23T00:00:00"/>
        <d v="2013-03-30T00:00:00"/>
        <d v="2014-04-29T00:00:00"/>
        <d v="2013-01-02T00:00:00"/>
        <d v="2011-04-04T00:00:00"/>
        <d v="2010-10-17T00:00:00"/>
        <d v="2012-12-06T00:00:00"/>
        <d v="2010-03-21T00:00:00"/>
        <d v="2010-07-14T00:00:00"/>
        <d v="2011-07-02T00:00:00"/>
        <d v="2012-09-12T00:00:00"/>
        <d v="2011-12-02T00:00:00"/>
        <d v="2013-03-05T00:00:00"/>
        <d v="2013-04-13T00:00:00"/>
        <d v="2011-01-08T00:00:00"/>
        <d v="2010-06-27T00:00:00"/>
        <d v="2014-05-10T00:00:00"/>
        <d v="2013-12-05T00:00:00"/>
        <d v="2010-07-29T00:00:00"/>
        <d v="2014-05-01T00:00:00"/>
        <d v="2012-05-09T00:00:00"/>
        <d v="2013-04-10T00:00:00"/>
        <d v="2012-03-28T00:00:00"/>
        <d v="2010-07-15T00:00:00"/>
        <d v="2011-10-05T00:00:00"/>
        <d v="2013-02-06T00:00:00"/>
        <d v="2012-11-11T00:00:00"/>
        <d v="2010-05-31T00:00:00"/>
        <d v="2012-12-26T00:00:00"/>
        <d v="2012-09-07T00:00:00"/>
        <d v="2011-09-13T00:00:00"/>
        <d v="2014-08-13T00:00:00"/>
        <d v="2011-06-23T00:00:00"/>
        <d v="2012-05-30T00:00:00"/>
        <d v="2011-04-19T00:00:00"/>
        <d v="2013-07-01T00:00:00"/>
        <d v="2011-08-24T00:00:00"/>
        <d v="2012-09-18T00:00:00"/>
        <d v="2012-07-03T00:00:00"/>
        <d v="2011-09-30T00:00:00"/>
        <d v="2011-08-07T00:00:00"/>
        <d v="2010-04-29T00:00:00"/>
        <d v="2013-07-30T00:00:00"/>
        <d v="2014-05-16T00:00:00"/>
        <d v="2012-12-03T00:00:00"/>
        <d v="2013-07-15T00:00:00"/>
        <d v="2011-04-28T00:00:00"/>
        <d v="2014-05-25T00:00:00"/>
        <d v="2011-06-12T00:00:00"/>
        <d v="2013-06-23T00:00:00"/>
        <d v="2011-07-08T00:00:00"/>
        <d v="2012-06-11T00:00:00"/>
        <d v="2013-02-01T00:00:00"/>
        <d v="2010-11-16T00:00:00"/>
        <d v="2013-12-04T00:00:00"/>
        <d v="2012-02-01T00:00:00"/>
        <d v="2013-09-26T00:00:00"/>
        <d v="2011-04-12T00:00:00"/>
        <d v="2012-01-23T00:00:00"/>
        <d v="2010-09-23T00:00:00"/>
        <d v="2014-06-07T00:00:00"/>
        <d v="2014-03-03T00:00:00"/>
        <d v="2014-05-08T00:00:00"/>
        <d v="2012-03-19T00:00:00"/>
        <d v="2012-04-30T00:00:00"/>
        <d v="2011-02-27T00:00:00"/>
        <d v="2014-10-25T00:00:00"/>
        <d v="2014-07-01T00:00:00"/>
        <d v="2010-11-10T00:00:00"/>
        <d v="2011-11-20T00:00:00"/>
        <d v="2011-05-03T00:00:00"/>
        <d v="2012-07-24T00:00:00"/>
        <d v="2014-08-20T00:00:00"/>
        <d v="2014-04-21T00:00:00"/>
        <d v="2014-05-27T00:00:00"/>
        <d v="2011-09-06T00:00:00"/>
        <d v="2010-09-10T00:00:00"/>
        <d v="2013-05-24T00:00:00"/>
        <d v="2011-05-14T00:00:00"/>
        <d v="2012-08-18T00:00:00"/>
        <d v="2011-03-27T00:00:00"/>
        <d v="2011-04-17T00:00:00"/>
        <d v="2014-08-08T00:00:00"/>
        <d v="2010-01-25T00:00:00"/>
        <d v="2014-06-13T00:00:00"/>
        <d v="2014-02-11T00:00:00"/>
        <d v="2013-06-01T00:00:00"/>
        <d v="2013-09-09T00:00:00"/>
        <d v="2012-12-04T00:00:00"/>
        <d v="2010-04-18T00:00:00"/>
        <d v="2014-04-27T00:00:00"/>
        <d v="2013-09-13T00:00:00"/>
        <d v="2014-04-15T00:00:00"/>
        <d v="2010-09-15T00:00:00"/>
        <d v="2013-11-12T00:00:00"/>
        <d v="2013-03-28T00:00:00"/>
        <d v="2011-02-14T00:00:00"/>
        <d v="2013-04-15T00:00:00"/>
        <d v="2010-05-14T00:00:00"/>
        <d v="2010-12-21T00:00:00"/>
        <d v="2012-08-25T00:00:00"/>
        <d v="2010-05-07T00:00:00"/>
        <d v="2010-07-24T00:00:00"/>
        <d v="2012-04-20T00:00:00"/>
        <d v="2014-02-03T00:00:00"/>
        <d v="2011-10-18T00:00:00"/>
        <d v="2010-03-30T00:00:00"/>
        <d v="2012-02-18T00:00:00"/>
        <d v="2012-12-29T00:00:00"/>
        <d v="2014-04-19T00:00:00"/>
        <d v="2014-02-01T00:00:00"/>
        <d v="2014-02-23T00:00:00"/>
        <d v="2013-08-16T00:00:00"/>
        <d v="2011-04-26T00:00:00"/>
        <d v="2012-12-13T00:00:00"/>
        <d v="2012-06-19T00:00:00"/>
        <d v="2010-12-09T00:00:00"/>
        <d v="2011-01-02T00:00:00"/>
        <d v="2013-09-08T00:00:00"/>
        <d v="2011-02-15T00:00:00"/>
        <d v="2012-02-04T00:00:00"/>
        <d v="2013-06-30T00:00:00"/>
        <d v="2012-09-19T00:00:00"/>
        <d v="2011-04-24T00:00:00"/>
        <d v="2011-12-26T00:00:00"/>
        <d v="2011-02-17T00:00:00"/>
        <d v="2010-08-21T00:00:00"/>
        <d v="2012-11-01T00:00:00"/>
        <d v="2012-05-12T00:00:00"/>
        <d v="2010-03-19T00:00:00"/>
        <d v="2012-01-12T00:00:00"/>
        <d v="2012-11-21T00:00:00"/>
        <d v="2011-07-10T00:00:00"/>
        <d v="2011-05-19T00:00:00"/>
        <d v="2013-01-25T00:00:00"/>
        <d v="2013-01-16T00:00:00"/>
        <d v="2011-12-23T00:00:00"/>
        <d v="2011-09-03T00:00:00"/>
        <d v="2013-04-18T00:00:00"/>
        <d v="2010-11-15T00:00:00"/>
        <d v="2012-07-08T00:00:00"/>
        <d v="2014-04-10T00:00:00"/>
        <d v="2014-07-14T00:00:00"/>
        <d v="2012-04-18T00:00:00"/>
        <d v="2012-09-06T00:00:00"/>
        <d v="2010-10-31T00:00:00"/>
        <d v="2012-04-13T00:00:00"/>
        <d v="2011-12-14T00:00:00"/>
        <d v="2014-03-19T00:00:00"/>
        <d v="2010-07-26T00:00:00"/>
        <d v="2012-09-08T00:00:00"/>
        <d v="2013-08-18T00:00:00"/>
        <d v="2014-08-23T00:00:00"/>
        <d v="2012-04-06T00:00:00"/>
        <d v="2012-09-26T00:00:00"/>
        <d v="2013-04-23T00:00:00"/>
        <d v="2012-12-02T00:00:00"/>
        <d v="2012-04-09T00:00:00"/>
        <d v="2014-03-20T00:00:00"/>
        <d v="2010-05-24T00:00:00"/>
        <d v="2013-06-10T00:00:00"/>
        <d v="2013-11-22T00:00:00"/>
        <d v="2010-12-16T00:00:00"/>
        <d v="2010-01-14T00:00:00"/>
        <d v="2013-01-21T00:00:00"/>
        <d v="2012-06-21T00:00:00"/>
        <d v="2011-08-03T00:00:00"/>
        <d v="2010-04-01T00:00:00"/>
        <d v="2011-05-13T00:00:00"/>
        <d v="2012-09-11T00:00:00"/>
        <d v="2011-07-29T00:00:00"/>
        <d v="2014-12-25T00:00:00"/>
        <d v="2011-07-06T00:00:00"/>
        <d v="2014-06-12T00:00:00"/>
        <d v="2012-02-09T00:00:00"/>
        <d v="2013-02-14T00:00:00"/>
        <d v="2010-05-21T00:00:00"/>
        <d v="2011-03-10T00:00:00"/>
        <d v="2013-07-26T00:00:00"/>
        <d v="2014-08-19T00:00:00"/>
        <d v="2014-09-06T00:00:00"/>
        <d v="2012-03-16T00:00:00"/>
        <d v="2014-07-28T00:00:00"/>
        <d v="2012-09-01T00:00:00"/>
        <d v="2010-12-20T00:00:00"/>
        <d v="2012-05-20T00:00:00"/>
        <d v="2013-01-15T00:00:00"/>
        <d v="2014-11-16T00:00:00"/>
        <d v="2011-09-16T00:00:00"/>
        <d v="2010-02-05T00:00:00"/>
        <d v="2011-02-11T00:00:00"/>
        <d v="2014-01-19T00:00:00"/>
        <d v="2013-06-18T00:00:00"/>
        <d v="2013-02-13T00:00:00"/>
        <d v="2012-07-05T00:00:00"/>
        <d v="2014-09-19T00:00:00"/>
        <d v="2010-10-02T00:00:00"/>
        <d v="2013-01-08T00:00:00"/>
        <d v="2011-09-01T00:00:00"/>
        <d v="2013-11-27T00:00:00"/>
        <d v="2010-07-28T00:00:00"/>
        <d v="2011-05-30T00:00:00"/>
        <d v="2012-07-22T00:00:00"/>
        <d v="2013-02-21T00:00:00"/>
        <d v="2014-08-01T00:00:00"/>
        <d v="2013-05-13T00:00:00"/>
        <d v="2010-02-14T00:00:00"/>
        <d v="2010-12-25T00:00:00"/>
        <d v="2012-09-21T00:00:00"/>
        <d v="2013-09-12T00:00:00"/>
        <d v="2013-06-12T00:00:00"/>
        <d v="2010-01-21T00:00:00"/>
        <d v="2013-04-03T00:00:00"/>
        <d v="2012-08-30T00:00:00"/>
        <d v="2012-10-16T00:00:00"/>
        <d v="2013-05-16T00:00:00"/>
        <d v="2012-06-03T00:00:00"/>
        <d v="2010-07-10T00:00:00"/>
        <d v="2013-05-21T00:00:00"/>
        <d v="2011-12-24T00:00:00"/>
        <d v="2011-07-18T00:00:00"/>
        <d v="2010-08-12T00:00:00"/>
        <d v="2010-04-25T00:00:00"/>
        <d v="2011-07-26T00:00:00"/>
        <d v="2012-06-01T00:00:00"/>
        <d v="2011-06-05T00:00:00"/>
        <d v="2013-06-21T00:00:00"/>
        <d v="2012-10-11T00:00:00"/>
        <d v="2011-08-22T00:00:00"/>
        <d v="2014-07-26T00:00:00"/>
        <d v="2014-01-29T00:00:00"/>
        <d v="2010-10-11T00:00:00"/>
        <d v="2013-01-30T00:00:00"/>
        <d v="2012-03-12T00:00:00"/>
        <d v="2012-12-19T00:00:00"/>
        <d v="2014-09-27T00:00:00"/>
        <d v="2011-08-04T00:00:00"/>
        <d v="2010-06-22T00:00:00"/>
        <d v="2010-05-11T00:00:00"/>
        <d v="2010-06-16T00:00:00"/>
        <d v="2011-01-16T00:00:00"/>
        <d v="2010-04-26T00:00:00"/>
        <d v="2014-06-11T00:00:00"/>
        <d v="2012-07-13T00:00:00"/>
        <d v="2010-02-10T00:00:00"/>
        <d v="2014-02-21T00:00:00"/>
        <d v="2011-11-24T00:00:00"/>
        <d v="2012-01-25T00:00:00"/>
        <d v="2012-08-28T00:00:00"/>
        <d v="2011-02-10T00:00:00"/>
        <d v="2010-09-02T00:00:00"/>
        <d v="2010-01-28T00:00:00"/>
        <d v="2010-04-05T00:00:00"/>
        <d v="2013-11-05T00:00:00"/>
        <d v="2014-04-23T00:00:00"/>
        <d v="2011-02-08T00:00:00"/>
        <d v="2010-07-12T00:00:00"/>
        <d v="2010-02-25T00:00:00"/>
        <d v="2010-08-17T00:00:00"/>
        <d v="2012-03-13T00:00:00"/>
        <d v="2013-03-25T00:00:00"/>
        <d v="2013-09-02T00:00:00"/>
        <d v="2010-01-11T00:00:00"/>
        <d v="2013-01-17T00:00:00"/>
        <d v="2010-06-26T00:00:00"/>
        <d v="2012-05-05T00:00:00"/>
        <d v="2010-06-30T00:00:00"/>
        <d v="2013-07-03T00:00:00"/>
        <d v="2014-01-20T00:00:00"/>
        <d v="2012-12-22T00:00:00"/>
        <d v="2011-08-08T00:00:00"/>
        <d v="2012-12-11T00:00:00"/>
        <d v="2011-05-01T00:00:00"/>
        <d v="2011-10-14T00:00:00"/>
        <d v="2012-06-29T00:00:00"/>
        <d v="2014-10-22T00:00:00"/>
        <d v="2011-12-28T00:00:00"/>
        <d v="2010-11-23T00:00:00"/>
        <d v="2011-07-21T00:00:00"/>
        <d v="2014-03-10T00:00:00"/>
        <d v="2011-07-27T00:00:00"/>
        <d v="2014-05-05T00:00:00"/>
        <d v="2013-05-22T00:00:00"/>
        <d v="2011-01-01T00:00:00"/>
        <d v="2013-06-13T00:00:00"/>
        <d v="2011-12-30T00:00:00"/>
        <d v="2012-08-03T00:00:00"/>
        <d v="2010-10-23T00:00:00"/>
        <d v="2010-03-08T00:00:00"/>
        <d v="2014-01-06T00:00:00"/>
        <d v="2011-03-18T00:00:00"/>
        <d v="2012-09-25T00:00:00"/>
        <d v="2011-02-13T00:00:00"/>
        <d v="2011-09-24T00:00:00"/>
        <d v="2014-08-26T00:00:00"/>
        <d v="2010-03-18T00:00:00"/>
        <d v="2014-09-25T00:00:00"/>
        <d v="2011-01-22T00:00:00"/>
        <d v="2011-02-07T00:00:00"/>
        <d v="2012-02-29T00:00:00"/>
        <d v="2010-04-06T00:00:00"/>
        <d v="2012-11-23T00:00:00"/>
        <d v="2011-08-25T00:00:00"/>
        <d v="2010-10-21T00:00:00"/>
        <d v="2011-10-29T00:00:00"/>
        <d v="2014-02-13T00:00:00"/>
        <d v="2010-01-16T00:00:00"/>
        <d v="2014-03-31T00:00:00"/>
        <d v="2011-04-07T00:00:00"/>
        <d v="2010-02-08T00:00:00"/>
        <d v="2011-03-16T00:00:00"/>
        <d v="2010-07-02T00:00:00"/>
        <d v="2010-12-13T00:00:00"/>
        <d v="2014-11-10T00:00:00"/>
        <d v="2011-12-19T00:00:00"/>
        <d v="2010-06-15T00:00:00"/>
        <d v="2012-10-14T00:00:00"/>
        <d v="2011-10-27T00:00:00"/>
        <d v="2014-10-01T00:00:00"/>
        <d v="2011-08-19T00:00:00"/>
        <d v="2012-05-31T00:00:00"/>
        <d v="2012-11-12T00:00:00"/>
        <d v="2010-03-17T00:00:00"/>
        <d v="2012-03-10T00:00:00"/>
        <d v="2014-02-10T00:00:00"/>
        <d v="2013-07-04T00:00:00"/>
        <d v="2013-07-29T00:00:00"/>
        <d v="2011-06-08T00:00:00"/>
        <d v="2014-03-23T00:00:00"/>
        <d v="2011-06-30T00:00:00"/>
        <d v="2013-12-27T00:00:00"/>
        <d v="2014-07-15T00:00:00"/>
        <d v="2011-11-17T00:00:00"/>
        <d v="2010-12-02T00:00:00"/>
        <d v="2014-07-31T00:00:00"/>
        <d v="2012-03-15T00:00:00"/>
        <d v="2011-04-15T00:00:00"/>
        <d v="2011-06-11T00:00:00"/>
        <d v="2010-06-02T00:00:00"/>
        <d v="2011-08-28T00:00:00"/>
        <d v="2014-01-09T00:00:00"/>
        <d v="2010-01-24T00:00:00"/>
        <d v="2010-03-27T00:00:00"/>
        <d v="2011-05-05T00:00:00"/>
        <d v="2012-02-02T00:00:00"/>
        <d v="2013-02-16T00:00:00"/>
        <d v="2012-10-09T00:00:00"/>
        <d v="2011-08-26T00:00:00"/>
        <d v="2012-09-05T00:00:00"/>
        <d v="2010-08-02T00:00:00"/>
        <d v="2014-12-29T00:00:00"/>
        <d v="2013-04-29T00:00:00"/>
        <d v="2011-04-11T00:00:00"/>
        <d v="2014-02-04T00:00:00"/>
        <d v="2013-12-09T00:00:00"/>
        <d v="2012-10-27T00:00:00"/>
        <d v="2011-09-12T00:00:00"/>
        <d v="2012-03-02T00:00:00"/>
        <d v="2014-09-09T00:00:00"/>
        <d v="2013-06-07T00:00:00"/>
        <d v="2011-10-11T00:00:00"/>
        <d v="2010-04-22T00:00:00"/>
        <d v="2014-08-07T00:00:00"/>
        <d v="2010-01-03T00:00:00"/>
        <d v="2012-10-05T00:00:00"/>
        <d v="2014-11-21T00:00:00"/>
        <d v="2010-07-06T00:00:00"/>
        <d v="2012-09-28T00:00:00"/>
        <d v="2010-04-19T00:00:00"/>
        <d v="2013-09-23T00:00:00"/>
        <d v="2010-04-08T00:00:00"/>
        <d v="2010-06-09T00:00:00"/>
        <d v="2010-03-29T00:00:00"/>
        <d v="2010-10-03T00:00:00"/>
        <d v="2013-02-09T00:00:00"/>
        <d v="2014-07-27T00:00:00"/>
        <d v="2010-01-05T00:00:00"/>
        <d v="2012-03-21T00:00:00"/>
        <d v="2010-04-09T00:00:00"/>
        <d v="2010-10-06T00:00:00"/>
        <d v="2014-01-16T00:00:00"/>
        <d v="2013-02-04T00:00:00"/>
        <d v="2010-07-22T00:00:00"/>
        <d v="2011-06-03T00:00:00"/>
        <d v="2014-05-21T00:00:00"/>
        <d v="2010-03-01T00:00:00"/>
        <d v="2013-07-22T00:00:00"/>
        <d v="2011-06-01T00:00:00"/>
        <d v="2011-09-07T00:00:00"/>
        <d v="2012-07-20T00:00:00"/>
        <d v="2014-11-24T00:00:00"/>
        <d v="2010-11-29T00:00:00"/>
        <d v="2010-05-04T00:00:00"/>
        <d v="2011-02-25T00:00:00"/>
        <d v="2014-08-24T00:00:00"/>
        <d v="2014-01-26T00:00:00"/>
        <d v="2012-10-20T00:00:00"/>
        <d v="2011-03-26T00:00:00"/>
        <d v="2014-09-21T00:00:00"/>
        <d v="2013-11-08T00:00:00"/>
        <d v="2011-06-29T00:00:00"/>
        <d v="2012-03-05T00:00:00"/>
        <d v="2010-10-05T00:00:00"/>
        <d v="2010-10-20T00:00:00"/>
        <d v="2010-09-05T00:00:00"/>
        <d v="2014-12-22T00:00:00"/>
        <d v="2014-05-26T00:00:00"/>
        <d v="2014-04-28T00:00:00"/>
        <d v="2010-03-10T00:00:00"/>
        <d v="2011-10-28T00:00:00"/>
        <d v="2014-04-22T00:00:00"/>
        <d v="2013-09-19T00:00:00"/>
        <d v="2011-12-31T00:00:00"/>
        <d v="2010-06-07T00:00:00"/>
        <d v="2013-10-15T00:00:00"/>
        <d v="2010-09-13T00:00:00"/>
        <d v="2010-11-17T00:00:00"/>
        <d v="2013-10-16T00:00:00"/>
        <d v="2010-12-28T00:00:00"/>
        <d v="2014-09-11T00:00:00"/>
        <d v="2013-05-08T00:00:00"/>
        <d v="2011-07-09T00:00:00"/>
        <d v="2011-07-15T00:00:00"/>
        <d v="2011-03-12T00:00:00"/>
        <d v="2012-07-30T00:00:00"/>
        <d v="2010-06-29T00:00:00"/>
        <d v="2013-02-18T00:00:00"/>
        <d v="2014-05-07T00:00:00"/>
        <d v="2012-05-04T00:00:00"/>
        <d v="2011-12-04T00:00:00"/>
        <d v="2012-01-26T00:00:00"/>
        <d v="2013-06-14T00:00:00"/>
        <d v="2010-10-18T00:00:00"/>
        <d v="2013-10-14T00:00:00"/>
        <d v="2011-06-15T00:00:00"/>
        <d v="2010-08-18T00:00:00"/>
        <d v="2010-08-07T00:00:00"/>
        <d v="2012-05-08T00:00:00"/>
        <d v="2011-08-21T00:00:00"/>
        <d v="2013-01-11T00:00:00"/>
        <d v="2013-12-14T00:00:00"/>
        <d v="2013-10-19T00:00:00"/>
        <d v="2012-02-15T00:00:00"/>
        <d v="2013-03-26T00:00:00"/>
        <d v="2012-09-09T00:00:00"/>
        <d v="2013-05-04T00:00:00"/>
        <d v="2011-12-21T00:00:00"/>
        <d v="2010-09-16T00:00:00"/>
        <d v="2010-01-17T00:00:00"/>
        <d v="2010-08-01T00:00:00"/>
        <d v="2014-03-27T00:00:00"/>
        <d v="2012-01-06T00:00:00"/>
        <d v="2010-11-30T00:00:00"/>
        <d v="2013-10-06T00:00:00"/>
        <d v="2014-01-05T00:00:00"/>
        <d v="2011-12-07T00:00:00"/>
        <d v="2010-02-13T00:00:00"/>
        <d v="2011-08-13T00:00:00"/>
        <d v="2011-11-28T00:00:00"/>
        <d v="2013-09-16T00:00:00"/>
        <d v="2010-10-28T00:00:00"/>
        <d v="2011-01-30T00:00:00"/>
        <d v="2014-09-29T00:00:00"/>
        <d v="2012-08-09T00:00:00"/>
        <d v="2010-09-01T00:00:00"/>
        <d v="2010-11-20T00:00:00"/>
        <d v="2014-10-17T00:00:00"/>
        <d v="2010-12-18T00:00:00"/>
        <d v="2011-10-17T00:00:00"/>
        <d v="2011-02-05T00:00:00"/>
        <d v="2013-03-09T00:00:00"/>
        <d v="2014-03-02T00:00:00"/>
        <d v="2013-08-19T00:00:00"/>
        <d v="2010-09-03T00:00:00"/>
        <d v="2011-07-11T00:00:00"/>
        <d v="2010-12-19T00:00:00"/>
        <d v="2012-05-17T00:00:00"/>
        <d v="2010-11-02T00:00:00"/>
        <d v="2010-04-27T00:00:00"/>
        <d v="2011-10-23T00:00:00"/>
        <d v="2012-01-15T00:00:00"/>
        <d v="2014-06-14T00:00:00"/>
        <d v="2014-03-16T00:00:00"/>
        <d v="2010-05-23T00:00:00"/>
        <d v="2014-05-02T00:00:00"/>
        <d v="2013-09-05T00:00:00"/>
        <d v="2014-06-19T00:00:00"/>
        <d v="2010-01-12T00:00:00"/>
        <d v="2013-08-07T00:00:00"/>
        <d v="2010-02-09T00:00:00"/>
        <d v="2010-06-01T00:00:00"/>
        <d v="2010-05-16T00:00:00"/>
        <d v="2013-08-13T00:00:00"/>
        <d v="2012-11-30T00:00:00"/>
        <d v="2011-08-11T00:00:00"/>
        <d v="2014-08-12T00:00:00"/>
        <d v="2014-11-28T00:00:00"/>
        <d v="2012-04-10T00:00:00"/>
        <d v="2013-11-21T00:00:00"/>
        <d v="2013-01-06T00:00:00"/>
        <d v="2013-10-12T00:00:00"/>
        <d v="2011-04-05T00:00:00"/>
        <d v="2013-12-17T00:00:00"/>
        <d v="2012-01-07T00:00:00"/>
        <d v="2011-10-20T00:00:00"/>
        <d v="2012-03-14T00:00:00"/>
        <d v="2012-09-04T00:00:00"/>
        <d v="2010-12-11T00:00:00"/>
        <d v="2014-01-03T00:00:00"/>
        <d v="2012-10-24T00:00:00"/>
        <d v="2014-01-12T00:00:00"/>
        <d v="2013-05-02T00:00:00"/>
        <d v="2010-11-22T00:00:00"/>
        <d v="2013-12-07T00:00:00"/>
        <d v="2013-04-28T00:00:00"/>
        <d v="2013-09-24T00:00:00"/>
        <d v="2014-10-03T00:00:00"/>
        <d v="2011-05-21T00:00:00"/>
        <d v="2011-10-04T00:00:00"/>
        <d v="2014-06-24T00:00:00"/>
        <d v="2013-12-10T00:00:00"/>
        <d v="2014-10-11T00:00:00"/>
        <d v="2010-10-15T00:00:00"/>
        <d v="2010-09-07T00:00:00"/>
        <d v="2011-07-20T00:00:00"/>
        <d v="2012-05-07T00:00:00"/>
        <d v="2010-08-27T00:00:00"/>
        <d v="2011-09-08T00:00:00"/>
        <d v="2014-11-09T00:00:00"/>
        <d v="2014-11-26T00:00:00"/>
        <d v="2012-04-21T00:00:00"/>
        <d v="2011-11-19T00:00:00"/>
        <d v="2013-02-07T00:00:00"/>
        <d v="2012-11-28T00:00:00"/>
        <d v="2012-06-16T00:00:00"/>
        <d v="2011-11-18T00:00:00"/>
        <d v="2012-05-15T00:00:00"/>
        <d v="2011-11-22T00:00:00"/>
        <d v="2012-02-23T00:00:00"/>
        <d v="2011-12-18T00:00:00"/>
        <d v="2011-05-26T00:00:00"/>
        <d v="2014-01-28T00:00:00"/>
        <d v="2011-12-22T00:00:00"/>
        <d v="2012-10-08T00:00:00"/>
        <d v="2014-02-16T00:00:00"/>
        <d v="2013-12-08T00:00:00"/>
        <d v="2013-10-13T00:00:00"/>
        <d v="2010-12-29T00:00:00"/>
        <d v="2010-07-23T00:00:00"/>
        <d v="2014-11-07T00:00:00"/>
        <d v="2010-07-08T00:00:00"/>
        <d v="2011-02-26T00:00:00"/>
        <d v="2011-02-18T00:00:00"/>
        <d v="2014-08-28T00:00:00"/>
        <d v="2011-09-23T00:00:00"/>
        <d v="2013-08-10T00:00:00"/>
        <d v="2013-06-09T00:00:00"/>
        <d v="2010-06-13T00:00:00"/>
        <d v="2010-07-07T00:00:00"/>
        <d v="2013-11-26T00:00:00"/>
        <d v="2013-11-16T00:00:00"/>
        <d v="2010-11-28T00:00:00"/>
        <d v="2013-09-01T00:00:00"/>
        <d v="2011-04-16T00:00:00"/>
        <d v="2011-04-21T00:00:00"/>
        <d v="2010-07-18T00:00:00"/>
        <d v="2010-02-17T00:00:00"/>
        <d v="2013-02-24T00:00:00"/>
        <d v="2014-08-05T00:00:00"/>
        <d v="2011-11-08T00:00:00"/>
        <d v="2010-01-29T00:00:00"/>
        <d v="2014-10-15T00:00:00"/>
        <d v="2011-05-29T00:00:00"/>
        <d v="2014-03-24T00:00:00"/>
        <d v="2010-09-04T00:00:00"/>
        <d v="2011-03-07T00:00:00"/>
        <d v="2012-01-11T00:00:00"/>
        <d v="2013-05-14T00:00:00"/>
        <d v="2012-01-17T00:00:00"/>
        <d v="2012-10-31T00:00:00"/>
        <d v="2013-12-03T00:00:00"/>
        <d v="2011-10-08T00:00:00"/>
        <d v="2014-12-10T00:00:00"/>
        <d v="2014-02-27T00:00:00"/>
        <d v="2013-06-26T00:00:00"/>
        <d v="2014-12-15T00:00:00"/>
        <d v="2011-08-27T00:00:00"/>
        <d v="2011-11-21T00:00:00"/>
        <d v="2010-10-26T00:00:00"/>
        <d v="2014-09-01T00:00:00"/>
        <d v="2013-10-30T00:00:00"/>
        <d v="2013-02-28T00:00:00"/>
        <d v="2013-11-17T00:00:00"/>
        <d v="2014-08-06T00:00:00"/>
        <d v="2010-09-19T00:00:00"/>
        <d v="2012-04-15T00:00:00"/>
        <d v="2011-01-05T00:00:00"/>
        <d v="2011-01-17T00:00:00"/>
        <d v="2011-06-21T00:00:00"/>
        <d v="2013-02-26T00:00:00"/>
        <d v="2012-02-05T00:00:00"/>
        <d v="2010-08-19T00:00:00"/>
        <d v="2013-10-31T00:00:00"/>
        <d v="2012-11-04T00:00:00"/>
        <d v="2010-11-14T00:00:00"/>
        <d v="2013-03-03T00:00:00"/>
        <d v="2010-11-11T00:00:00"/>
        <d v="2013-12-29T00:00:00"/>
        <d v="2010-08-03T00:00:00"/>
        <d v="2013-01-01T00:00:00"/>
        <d v="2013-03-21T00:00:00"/>
        <d v="2013-07-12T00:00:00"/>
        <d v="2012-07-15T00:00:00"/>
        <d v="2012-06-18T00:00:00"/>
        <d v="2011-07-28T00:00:00"/>
        <d v="2012-05-18T00:00:00"/>
        <d v="2010-02-28T00:00:00"/>
        <d v="2010-03-26T00:00:00"/>
        <d v="2012-11-15T00:00:00"/>
        <d v="2010-07-27T00:00:00"/>
        <d v="2014-12-23T00:00:00"/>
        <d v="2014-01-10T00:00:00"/>
        <d v="2010-08-14T00:00:00"/>
        <d v="2014-07-29T00:00:00"/>
        <d v="2010-12-17T00:00:00"/>
        <d v="2010-12-30T00:00:00"/>
        <d v="2012-08-06T00:00:00"/>
        <d v="2014-06-08T00:00:00"/>
        <d v="2011-11-25T00:00:00"/>
        <d v="2010-11-13T00:00:00"/>
        <d v="2011-12-16T00:00:00"/>
        <d v="2013-05-25T00:00:00"/>
        <d v="2010-05-03T00:00:00"/>
        <d v="2012-04-17T00:00:00"/>
        <d v="2014-02-25T00:00:00"/>
        <d v="2010-07-17T00:00:00"/>
        <d v="2014-10-24T00:00:00"/>
        <d v="2010-10-09T00:00:00"/>
        <d v="2010-08-26T00:00:00"/>
        <d v="2012-10-01T00:00:00"/>
        <d v="2010-09-22T00:00:00"/>
        <d v="2014-08-03T00:00:00"/>
        <d v="2010-05-26T00:00:00"/>
        <d v="2011-11-06T00:00:00"/>
        <d v="2014-06-17T00:00:00"/>
        <d v="2013-09-15T00:00:00"/>
        <d v="2014-07-05T00:00:00"/>
        <d v="2011-06-02T00:00:00"/>
        <d v="2012-05-16T00:00:00"/>
        <d v="2014-11-04T00:00:00"/>
        <d v="2012-09-10T00:00:00"/>
        <d v="2013-09-14T00:00:00"/>
        <d v="2013-08-25T00:00:00"/>
        <d v="2013-08-17T00:00:00"/>
        <d v="2010-03-20T00:00:00"/>
        <d v="2011-10-31T00:00:00"/>
        <d v="2014-12-05T00:00:00"/>
        <d v="2011-07-07T00:00:00"/>
        <d v="2014-07-16T00:00:00"/>
        <d v="2013-06-08T00:00:00"/>
        <d v="2011-11-12T00:00:00"/>
        <d v="2013-04-14T00:00:00"/>
        <d v="2014-06-10T00:00:00"/>
        <d v="2013-01-31T00:00:00"/>
        <d v="2014-03-15T00:00:00"/>
        <d v="2014-02-15T00:00:00"/>
        <d v="2011-02-19T00:00:00"/>
        <d v="2012-04-19T00:00:00"/>
        <d v="2012-06-26T00:00:00"/>
        <d v="2011-07-17T00:00:00"/>
        <d v="2013-07-16T00:00:00"/>
        <d v="2010-06-11T00:00:00"/>
        <d v="2012-12-18T00:00:00"/>
        <d v="2013-01-22T00:00:00"/>
        <d v="2014-12-31T00:00:00"/>
        <d v="2011-10-12T00:00:00"/>
        <d v="2013-06-22T00:00:00"/>
        <d v="2011-11-02T00:00:00"/>
        <d v="2010-11-08T00:00:00"/>
        <d v="2013-11-18T00:00:00"/>
        <d v="2014-07-04T00:00:00"/>
        <d v="2013-04-27T00:00:00"/>
        <d v="2013-01-07T00:00:00"/>
        <d v="2010-04-28T00:00:00"/>
        <d v="2010-11-19T00:00:00"/>
        <d v="2012-11-14T00:00:00"/>
        <d v="2011-01-04T00:00:00"/>
        <d v="2014-12-09T00:00:00"/>
        <d v="2011-02-28T00:00:00"/>
        <d v="2011-09-25T00:00:00"/>
        <d v="2010-01-07T00:00:00"/>
        <d v="2012-07-25T00:00:00"/>
        <d v="2013-04-07T00:00:00"/>
        <d v="2013-06-02T00:00:00"/>
        <d v="2014-08-27T00:00:00"/>
        <d v="2014-09-02T00:00:00"/>
        <d v="2012-02-28T00:00:00"/>
        <d v="2012-07-23T00:00:00"/>
        <d v="2013-04-08T00:00:00"/>
        <d v="2011-04-02T00:00:00"/>
        <d v="2013-02-12T00:00:00"/>
        <d v="2011-09-05T00:00:00"/>
        <d v="2010-08-16T00:00:00"/>
        <d v="2010-05-30T00:00:00"/>
        <d v="2011-09-21T00:00:00"/>
        <d v="2011-03-30T00:00:00"/>
        <d v="2013-08-02T00:00:00"/>
        <d v="2012-04-14T00:00:00"/>
        <d v="2013-11-07T00:00:00"/>
        <d v="2012-01-16T00:00:00"/>
        <d v="2014-05-11T00:00:00"/>
        <d v="2011-08-06T00:00:00"/>
        <d v="2011-06-04T00:00:00"/>
        <d v="2012-11-17T00:00:00"/>
        <d v="2010-12-10T00:00:00"/>
        <d v="2014-02-06T00:00:00"/>
        <d v="2010-04-20T00:00:00"/>
        <d v="2013-05-27T00:00:00"/>
        <d v="2012-08-26T00:00:00"/>
        <d v="2010-04-21T00:00:00"/>
        <d v="2014-01-15T00:00:00"/>
        <d v="2014-05-14T00:00:00"/>
        <d v="2012-05-29T00:00:00"/>
        <d v="2012-06-24T00:00:00"/>
        <d v="2013-12-24T00:00:00"/>
        <d v="2010-08-09T00:00:00"/>
        <d v="2010-05-22T00:00:00"/>
        <d v="2014-11-18T00:00:00"/>
        <d v="2011-01-20T00:00:00"/>
        <d v="2013-11-24T00:00:00"/>
        <d v="2012-01-10T00:00:00"/>
        <d v="2013-03-24T00:00:00"/>
        <d v="2014-10-05T00:00:00"/>
        <d v="2012-04-07T00:00:00"/>
        <d v="2010-11-06T00:00:00"/>
        <d v="2013-08-22T00:00:00"/>
        <d v="2012-06-17T00:00:00"/>
        <d v="2011-11-14T00:00:00"/>
        <d v="2014-01-22T00:00:00"/>
        <d v="2013-02-15T00:00:00"/>
        <d v="2012-04-26T00:00:00"/>
        <d v="2014-12-24T00:00:00"/>
        <d v="2011-03-03T00:00:00"/>
        <d v="2014-09-17T00:00:00"/>
        <d v="2012-11-16T00:00:00"/>
        <d v="2014-08-04T00:00:00"/>
        <d v="2011-01-12T00:00:00"/>
        <d v="2014-04-12T00:00:00"/>
        <d v="2011-07-16T00:00:00"/>
        <d v="2011-12-25T00:00:00"/>
        <d v="2011-06-22T00:00:00"/>
        <d v="2014-08-16T00:00:00"/>
        <d v="2014-11-01T00:00:00"/>
        <d v="2012-12-31T00:00:00"/>
        <d v="2014-10-04T00:00:00"/>
        <d v="2014-08-14T00:00:00"/>
        <d v="2010-06-19T00:00:00"/>
        <d v="2012-04-28T00:00:00"/>
        <d v="2013-12-23T00:00:00"/>
        <d v="2013-03-18T00:00:00"/>
        <d v="2013-01-18T00:00:00"/>
        <d v="2012-04-08T00:00:00"/>
        <d v="2014-04-04T00:00:00"/>
        <d v="2011-01-25T00:00:00"/>
        <d v="2012-07-27T00:00:00"/>
        <d v="2012-12-23T00:00:00"/>
        <d v="2012-09-29T00:00:00"/>
        <d v="2011-01-13T00:00:00"/>
        <d v="2012-05-13T00:00:00"/>
        <d v="2012-12-09T00:00:00"/>
        <d v="2011-05-07T00:00:00"/>
        <d v="2014-08-30T00:00:00"/>
        <d v="2010-06-04T00:00:00"/>
        <d v="2013-09-17T00:00:00"/>
        <d v="2013-09-18T00:00:00"/>
        <d v="2011-02-09T00:00:00"/>
        <d v="2014-06-05T00:00:00"/>
        <d v="2013-07-27T00:00:00"/>
        <d v="2014-11-30T00:00:00"/>
        <d v="2012-03-31T00:00:00"/>
        <d v="2010-04-16T00:00:00"/>
        <d v="2011-06-18T00:00:00"/>
        <d v="2011-12-11T00:00:00"/>
        <d v="2013-06-29T00:00:00"/>
        <d v="2010-08-05T00:00:00"/>
        <d v="2011-01-11T00:00:00"/>
        <d v="2011-08-16T00:00:00"/>
        <d v="2010-09-27T00:00:00"/>
        <d v="2013-11-11T00:00:00"/>
        <d v="2010-05-19T00:00:00"/>
        <d v="2014-08-09T00:00:00"/>
        <d v="2014-11-27T00:00:00"/>
        <d v="2010-02-03T00:00:00"/>
        <d v="2010-04-03T00:00:00"/>
        <d v="2012-10-04T00:00:00"/>
        <d v="2013-02-10T00:00:00"/>
        <d v="2011-02-23T00:00:00"/>
        <d v="2011-03-02T00:00:00"/>
        <d v="2013-06-06T00:00:00"/>
        <d v="2014-01-17T00:00:00"/>
        <d v="2011-11-09T00:00:00"/>
        <d v="2012-05-14T00:00:00"/>
        <d v="2012-12-28T00:00:00"/>
        <d v="2011-11-13T00:00:00"/>
        <d v="2011-01-23T00:00:00"/>
        <d v="2011-12-15T00:00:00"/>
        <d v="2014-02-17T00:00:00"/>
        <d v="2010-03-11T00:00:00"/>
        <d v="2011-08-05T00:00:00"/>
        <d v="2011-06-26T00:00:00"/>
        <d v="2012-11-06T00:00:00"/>
        <d v="2013-07-02T00:00:00"/>
        <d v="2014-03-09T00:00:00"/>
        <d v="2010-01-18T00:00:00"/>
        <d v="2010-03-03T00:00:00"/>
        <d v="2012-12-27T00:00:00"/>
        <d v="2010-08-25T00:00:00"/>
        <d v="2013-10-26T00:00:00"/>
        <d v="2014-05-06T00:00:00"/>
        <d v="2014-09-05T00:00:00"/>
        <d v="2014-08-21T00:00:00"/>
        <d v="2014-03-30T00:00:00"/>
        <d v="2014-04-03T00:00:00"/>
        <d v="2013-06-05T00:00:00"/>
        <d v="2011-04-08T00:00:00"/>
        <d v="2011-04-10T00:00:00"/>
        <d v="2011-01-10T00:00:00"/>
        <d v="2013-09-03T00:00:00"/>
        <d v="2012-05-24T00:00:00"/>
        <d v="2013-07-10T00:00:00"/>
        <d v="2010-10-01T00:00:00"/>
        <d v="2013-03-07T00:00:00"/>
      </sharedItems>
      <fieldGroup par="9"/>
    </cacheField>
    <cacheField name="Provincia" numFmtId="0">
      <sharedItems count="20">
        <s v="Sevilla"/>
        <s v="Huelva"/>
        <s v="Jaen"/>
        <s v="Cordoba"/>
        <s v="Malaga"/>
        <s v="Granada"/>
        <s v="Madrid"/>
        <s v="Albacete"/>
        <s v="Cadiz"/>
        <s v="Zaragoza"/>
        <s v="Murcia"/>
        <s v="Asturias"/>
        <s v="Tarragona"/>
        <s v="Almeria"/>
        <s v="Toledo"/>
        <s v="Badajoz"/>
        <s v="Valladolid"/>
        <s v="Leon"/>
        <s v="Lerida"/>
        <s v="Caceres"/>
      </sharedItems>
    </cacheField>
    <cacheField name="Centro" numFmtId="0">
      <sharedItems count="6">
        <s v="El corte ingles"/>
        <s v="C.C. Nervion"/>
        <s v="Supermercados MAS"/>
        <s v="Metromar"/>
        <s v="C.C. Vicar"/>
        <s v="Carrefour"/>
      </sharedItems>
    </cacheField>
    <cacheField name="Producto" numFmtId="0">
      <sharedItems count="5">
        <s v="Home Cinema"/>
        <s v="TV 32 pulgadas"/>
        <s v="Frigorifico"/>
        <s v="Aspiradora"/>
        <s v="Lavadora 8 Kg"/>
      </sharedItems>
    </cacheField>
    <cacheField name="Cantidad" numFmtId="0">
      <sharedItems containsSemiMixedTypes="0" containsString="0" containsNumber="1" minValue="1" maxValue="295"/>
    </cacheField>
    <cacheField name="Precio" numFmtId="0">
      <sharedItems containsSemiMixedTypes="0" containsString="0" containsNumber="1" minValue="450" maxValue="1200"/>
    </cacheField>
    <cacheField name="Total" numFmtId="0">
      <sharedItems containsSemiMixedTypes="0" containsString="0" containsNumber="1" minValue="450" maxValue="336000"/>
    </cacheField>
    <cacheField name="Months (Fecha)" numFmtId="0" databaseField="0">
      <fieldGroup base="0">
        <rangePr groupBy="months" startDate="2010-01-03T00:00:00" endDate="2015-01-01T00:00:00"/>
        <groupItems count="14">
          <s v="&lt;03/01/201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15"/>
        </groupItems>
      </fieldGroup>
    </cacheField>
    <cacheField name="Quarters (Fecha)" numFmtId="0" databaseField="0">
      <fieldGroup base="0">
        <rangePr groupBy="quarters" startDate="2010-01-03T00:00:00" endDate="2015-01-01T00:00:00"/>
        <groupItems count="6">
          <s v="&lt;03/01/2010"/>
          <s v="Qtr1"/>
          <s v="Qtr2"/>
          <s v="Qtr3"/>
          <s v="Qtr4"/>
          <s v="&gt;01/01/2015"/>
        </groupItems>
      </fieldGroup>
    </cacheField>
    <cacheField name="Years (Fecha)" numFmtId="0" databaseField="0">
      <fieldGroup base="0">
        <rangePr groupBy="years" startDate="2010-01-03T00:00:00" endDate="2015-01-01T00:00:00"/>
        <groupItems count="8">
          <s v="&lt;03/01/2010"/>
          <s v="2010"/>
          <s v="2011"/>
          <s v="2012"/>
          <s v="2013"/>
          <s v="2014"/>
          <s v="2015"/>
          <s v="&gt;01/0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rrandro Ferreira" refreshedDate="46258.707448842593" createdVersion="8" refreshedVersion="8" minRefreshableVersion="3" recordCount="1497" xr:uid="{D4D7A7D7-F9CD-43DB-AAF8-8F81E935276D}">
  <cacheSource type="worksheet">
    <worksheetSource name="Tabla1"/>
  </cacheSource>
  <cacheFields count="9">
    <cacheField name="Fecha" numFmtId="14">
      <sharedItems containsSemiMixedTypes="0" containsNonDate="0" containsDate="1" containsString="0" minDate="2010-01-03T00:00:00" maxDate="2015-01-01T00:00:00" count="1018">
        <d v="2012-09-16T00:00:00"/>
        <d v="2011-05-11T00:00:00"/>
        <d v="2012-08-22T00:00:00"/>
        <d v="2012-05-21T00:00:00"/>
        <d v="2013-04-01T00:00:00"/>
        <d v="2013-09-25T00:00:00"/>
        <d v="2013-02-27T00:00:00"/>
        <d v="2013-07-13T00:00:00"/>
        <d v="2014-12-08T00:00:00"/>
        <d v="2014-09-20T00:00:00"/>
        <d v="2012-08-15T00:00:00"/>
        <d v="2011-01-07T00:00:00"/>
        <d v="2012-11-10T00:00:00"/>
        <d v="2012-11-22T00:00:00"/>
        <d v="2013-11-01T00:00:00"/>
        <d v="2014-12-17T00:00:00"/>
        <d v="2010-02-21T00:00:00"/>
        <d v="2014-06-03T00:00:00"/>
        <d v="2014-05-12T00:00:00"/>
        <d v="2012-04-16T00:00:00"/>
        <d v="2010-12-08T00:00:00"/>
        <d v="2011-03-17T00:00:00"/>
        <d v="2010-06-17T00:00:00"/>
        <d v="2012-03-03T00:00:00"/>
        <d v="2010-12-22T00:00:00"/>
        <d v="2012-05-23T00:00:00"/>
        <d v="2010-10-14T00:00:00"/>
        <d v="2014-06-06T00:00:00"/>
        <d v="2010-12-12T00:00:00"/>
        <d v="2014-12-03T00:00:00"/>
        <d v="2010-06-05T00:00:00"/>
        <d v="2010-12-27T00:00:00"/>
        <d v="2012-10-28T00:00:00"/>
        <d v="2011-09-09T00:00:00"/>
        <d v="2011-09-19T00:00:00"/>
        <d v="2014-03-14T00:00:00"/>
        <d v="2012-12-30T00:00:00"/>
        <d v="2012-11-20T00:00:00"/>
        <d v="2013-03-17T00:00:00"/>
        <d v="2014-05-22T00:00:00"/>
        <d v="2012-04-25T00:00:00"/>
        <d v="2014-08-31T00:00:00"/>
        <d v="2011-06-19T00:00:00"/>
        <d v="2010-04-24T00:00:00"/>
        <d v="2013-05-17T00:00:00"/>
        <d v="2010-10-10T00:00:00"/>
        <d v="2010-08-10T00:00:00"/>
        <d v="2012-02-06T00:00:00"/>
        <d v="2013-10-02T00:00:00"/>
        <d v="2012-06-28T00:00:00"/>
        <d v="2014-02-02T00:00:00"/>
        <d v="2013-10-22T00:00:00"/>
        <d v="2012-01-03T00:00:00"/>
        <d v="2013-08-23T00:00:00"/>
        <d v="2012-06-06T00:00:00"/>
        <d v="2014-01-07T00:00:00"/>
        <d v="2011-05-12T00:00:00"/>
        <d v="2013-12-26T00:00:00"/>
        <d v="2011-10-26T00:00:00"/>
        <d v="2014-07-07T00:00:00"/>
        <d v="2012-08-23T00:00:00"/>
        <d v="2011-12-09T00:00:00"/>
        <d v="2013-10-10T00:00:00"/>
        <d v="2013-10-11T00:00:00"/>
        <d v="2010-01-22T00:00:00"/>
        <d v="2014-08-10T00:00:00"/>
        <d v="2012-01-05T00:00:00"/>
        <d v="2012-01-18T00:00:00"/>
        <d v="2014-04-25T00:00:00"/>
        <d v="2011-01-18T00:00:00"/>
        <d v="2010-06-25T00:00:00"/>
        <d v="2014-05-30T00:00:00"/>
        <d v="2013-10-09T00:00:00"/>
        <d v="2013-08-26T00:00:00"/>
        <d v="2010-03-07T00:00:00"/>
        <d v="2013-05-20T00:00:00"/>
        <d v="2010-08-31T00:00:00"/>
        <d v="2010-12-01T00:00:00"/>
        <d v="2010-07-21T00:00:00"/>
        <d v="2013-04-19T00:00:00"/>
        <d v="2011-08-02T00:00:00"/>
        <d v="2010-09-20T00:00:00"/>
        <d v="2012-08-21T00:00:00"/>
        <d v="2010-09-11T00:00:00"/>
        <d v="2013-05-09T00:00:00"/>
        <d v="2014-03-13T00:00:00"/>
        <d v="2010-03-16T00:00:00"/>
        <d v="2012-03-27T00:00:00"/>
        <d v="2012-06-13T00:00:00"/>
        <d v="2013-12-18T00:00:00"/>
        <d v="2012-01-01T00:00:00"/>
        <d v="2010-03-04T00:00:00"/>
        <d v="2010-05-13T00:00:00"/>
        <d v="2010-02-07T00:00:00"/>
        <d v="2014-11-17T00:00:00"/>
        <d v="2013-10-01T00:00:00"/>
        <d v="2012-02-24T00:00:00"/>
        <d v="2011-04-18T00:00:00"/>
        <d v="2011-07-23T00:00:00"/>
        <d v="2014-07-24T00:00:00"/>
        <d v="2012-02-17T00:00:00"/>
        <d v="2011-10-01T00:00:00"/>
        <d v="2010-04-04T00:00:00"/>
        <d v="2014-06-04T00:00:00"/>
        <d v="2013-09-04T00:00:00"/>
        <d v="2012-07-01T00:00:00"/>
        <d v="2010-07-31T00:00:00"/>
        <d v="2011-12-20T00:00:00"/>
        <d v="2013-10-17T00:00:00"/>
        <d v="2013-01-10T00:00:00"/>
        <d v="2013-03-13T00:00:00"/>
        <d v="2013-10-20T00:00:00"/>
        <d v="2013-03-12T00:00:00"/>
        <d v="2010-04-14T00:00:00"/>
        <d v="2012-10-10T00:00:00"/>
        <d v="2014-06-01T00:00:00"/>
        <d v="2012-06-30T00:00:00"/>
        <d v="2012-02-12T00:00:00"/>
        <d v="2011-04-25T00:00:00"/>
        <d v="2011-06-14T00:00:00"/>
        <d v="2011-06-25T00:00:00"/>
        <d v="2012-01-22T00:00:00"/>
        <d v="2013-07-31T00:00:00"/>
        <d v="2014-04-18T00:00:00"/>
        <d v="2012-04-11T00:00:00"/>
        <d v="2013-11-03T00:00:00"/>
        <d v="2012-03-23T00:00:00"/>
        <d v="2013-02-03T00:00:00"/>
        <d v="2011-06-07T00:00:00"/>
        <d v="2010-06-28T00:00:00"/>
        <d v="2013-09-21T00:00:00"/>
        <d v="2014-09-24T00:00:00"/>
        <d v="2012-09-23T00:00:00"/>
        <d v="2011-03-31T00:00:00"/>
        <d v="2010-02-04T00:00:00"/>
        <d v="2014-10-09T00:00:00"/>
        <d v="2012-09-14T00:00:00"/>
        <d v="2012-12-16T00:00:00"/>
        <d v="2014-05-20T00:00:00"/>
        <d v="2013-02-08T00:00:00"/>
        <d v="2010-10-04T00:00:00"/>
        <d v="2014-09-12T00:00:00"/>
        <d v="2011-05-10T00:00:00"/>
        <d v="2010-04-12T00:00:00"/>
        <d v="2014-06-27T00:00:00"/>
        <d v="2012-02-21T00:00:00"/>
        <d v="2014-09-23T00:00:00"/>
        <d v="2014-06-29T00:00:00"/>
        <d v="2011-02-02T00:00:00"/>
        <d v="2013-11-13T00:00:00"/>
        <d v="2014-07-02T00:00:00"/>
        <d v="2011-06-28T00:00:00"/>
        <d v="2013-11-23T00:00:00"/>
        <d v="2010-09-09T00:00:00"/>
        <d v="2013-07-17T00:00:00"/>
        <d v="2012-01-31T00:00:00"/>
        <d v="2010-09-08T00:00:00"/>
        <d v="2013-03-27T00:00:00"/>
        <d v="2014-03-12T00:00:00"/>
        <d v="2014-11-14T00:00:00"/>
        <d v="2011-09-27T00:00:00"/>
        <d v="2014-01-23T00:00:00"/>
        <d v="2010-10-25T00:00:00"/>
        <d v="2013-08-14T00:00:00"/>
        <d v="2013-08-21T00:00:00"/>
        <d v="2011-02-24T00:00:00"/>
        <d v="2010-04-02T00:00:00"/>
        <d v="2011-05-02T00:00:00"/>
        <d v="2014-10-06T00:00:00"/>
        <d v="2012-03-04T00:00:00"/>
        <d v="2011-10-02T00:00:00"/>
        <d v="2012-01-04T00:00:00"/>
        <d v="2013-09-27T00:00:00"/>
        <d v="2014-10-08T00:00:00"/>
        <d v="2011-07-31T00:00:00"/>
        <d v="2014-05-17T00:00:00"/>
        <d v="2014-09-26T00:00:00"/>
        <d v="2014-02-24T00:00:00"/>
        <d v="2012-10-22T00:00:00"/>
        <d v="2011-05-09T00:00:00"/>
        <d v="2013-05-10T00:00:00"/>
        <d v="2014-03-08T00:00:00"/>
        <d v="2013-10-28T00:00:00"/>
        <d v="2014-09-03T00:00:00"/>
        <d v="2012-08-14T00:00:00"/>
        <d v="2013-08-08T00:00:00"/>
        <d v="2010-06-23T00:00:00"/>
        <d v="2013-03-30T00:00:00"/>
        <d v="2014-04-29T00:00:00"/>
        <d v="2013-01-02T00:00:00"/>
        <d v="2011-04-04T00:00:00"/>
        <d v="2010-10-17T00:00:00"/>
        <d v="2012-12-06T00:00:00"/>
        <d v="2010-03-21T00:00:00"/>
        <d v="2010-07-14T00:00:00"/>
        <d v="2011-07-02T00:00:00"/>
        <d v="2012-09-12T00:00:00"/>
        <d v="2011-12-02T00:00:00"/>
        <d v="2013-03-05T00:00:00"/>
        <d v="2013-04-13T00:00:00"/>
        <d v="2011-01-08T00:00:00"/>
        <d v="2010-06-27T00:00:00"/>
        <d v="2014-05-10T00:00:00"/>
        <d v="2013-12-05T00:00:00"/>
        <d v="2010-07-29T00:00:00"/>
        <d v="2014-05-01T00:00:00"/>
        <d v="2012-05-09T00:00:00"/>
        <d v="2013-04-10T00:00:00"/>
        <d v="2012-03-28T00:00:00"/>
        <d v="2010-07-15T00:00:00"/>
        <d v="2011-10-05T00:00:00"/>
        <d v="2013-02-06T00:00:00"/>
        <d v="2012-11-11T00:00:00"/>
        <d v="2010-05-31T00:00:00"/>
        <d v="2012-12-26T00:00:00"/>
        <d v="2012-09-07T00:00:00"/>
        <d v="2011-09-13T00:00:00"/>
        <d v="2014-08-13T00:00:00"/>
        <d v="2011-06-23T00:00:00"/>
        <d v="2012-05-30T00:00:00"/>
        <d v="2011-04-19T00:00:00"/>
        <d v="2013-07-01T00:00:00"/>
        <d v="2011-08-24T00:00:00"/>
        <d v="2012-09-18T00:00:00"/>
        <d v="2012-07-03T00:00:00"/>
        <d v="2011-09-30T00:00:00"/>
        <d v="2011-08-07T00:00:00"/>
        <d v="2010-04-29T00:00:00"/>
        <d v="2013-07-30T00:00:00"/>
        <d v="2014-05-16T00:00:00"/>
        <d v="2012-12-03T00:00:00"/>
        <d v="2013-07-15T00:00:00"/>
        <d v="2011-04-28T00:00:00"/>
        <d v="2014-05-25T00:00:00"/>
        <d v="2011-06-12T00:00:00"/>
        <d v="2013-06-23T00:00:00"/>
        <d v="2011-07-08T00:00:00"/>
        <d v="2012-06-11T00:00:00"/>
        <d v="2013-02-01T00:00:00"/>
        <d v="2010-11-16T00:00:00"/>
        <d v="2013-12-04T00:00:00"/>
        <d v="2012-02-01T00:00:00"/>
        <d v="2013-09-26T00:00:00"/>
        <d v="2011-04-12T00:00:00"/>
        <d v="2012-01-23T00:00:00"/>
        <d v="2010-09-23T00:00:00"/>
        <d v="2014-06-07T00:00:00"/>
        <d v="2014-03-03T00:00:00"/>
        <d v="2014-05-08T00:00:00"/>
        <d v="2012-03-19T00:00:00"/>
        <d v="2012-04-30T00:00:00"/>
        <d v="2011-02-27T00:00:00"/>
        <d v="2014-10-25T00:00:00"/>
        <d v="2014-07-01T00:00:00"/>
        <d v="2010-11-10T00:00:00"/>
        <d v="2011-11-20T00:00:00"/>
        <d v="2011-05-03T00:00:00"/>
        <d v="2012-07-24T00:00:00"/>
        <d v="2014-08-20T00:00:00"/>
        <d v="2014-04-21T00:00:00"/>
        <d v="2014-05-27T00:00:00"/>
        <d v="2011-09-06T00:00:00"/>
        <d v="2010-09-10T00:00:00"/>
        <d v="2013-05-24T00:00:00"/>
        <d v="2011-05-14T00:00:00"/>
        <d v="2012-08-18T00:00:00"/>
        <d v="2011-03-27T00:00:00"/>
        <d v="2011-04-17T00:00:00"/>
        <d v="2014-08-08T00:00:00"/>
        <d v="2010-01-25T00:00:00"/>
        <d v="2014-06-13T00:00:00"/>
        <d v="2014-02-11T00:00:00"/>
        <d v="2013-06-01T00:00:00"/>
        <d v="2013-09-09T00:00:00"/>
        <d v="2012-12-04T00:00:00"/>
        <d v="2010-04-18T00:00:00"/>
        <d v="2014-04-27T00:00:00"/>
        <d v="2013-09-13T00:00:00"/>
        <d v="2014-04-15T00:00:00"/>
        <d v="2010-09-15T00:00:00"/>
        <d v="2013-11-12T00:00:00"/>
        <d v="2013-03-28T00:00:00"/>
        <d v="2011-02-14T00:00:00"/>
        <d v="2013-04-15T00:00:00"/>
        <d v="2010-05-14T00:00:00"/>
        <d v="2010-12-21T00:00:00"/>
        <d v="2012-08-25T00:00:00"/>
        <d v="2010-05-07T00:00:00"/>
        <d v="2010-07-24T00:00:00"/>
        <d v="2012-04-20T00:00:00"/>
        <d v="2014-02-03T00:00:00"/>
        <d v="2011-10-18T00:00:00"/>
        <d v="2010-03-30T00:00:00"/>
        <d v="2012-02-18T00:00:00"/>
        <d v="2012-12-29T00:00:00"/>
        <d v="2014-04-19T00:00:00"/>
        <d v="2014-02-01T00:00:00"/>
        <d v="2014-02-23T00:00:00"/>
        <d v="2013-08-16T00:00:00"/>
        <d v="2011-04-26T00:00:00"/>
        <d v="2012-12-13T00:00:00"/>
        <d v="2012-06-19T00:00:00"/>
        <d v="2010-12-09T00:00:00"/>
        <d v="2011-01-02T00:00:00"/>
        <d v="2013-09-08T00:00:00"/>
        <d v="2011-02-15T00:00:00"/>
        <d v="2012-02-04T00:00:00"/>
        <d v="2013-06-30T00:00:00"/>
        <d v="2012-09-19T00:00:00"/>
        <d v="2011-04-24T00:00:00"/>
        <d v="2011-12-26T00:00:00"/>
        <d v="2011-02-17T00:00:00"/>
        <d v="2010-08-21T00:00:00"/>
        <d v="2012-11-01T00:00:00"/>
        <d v="2012-05-12T00:00:00"/>
        <d v="2010-03-19T00:00:00"/>
        <d v="2012-01-12T00:00:00"/>
        <d v="2012-11-21T00:00:00"/>
        <d v="2011-07-10T00:00:00"/>
        <d v="2011-05-19T00:00:00"/>
        <d v="2013-01-25T00:00:00"/>
        <d v="2013-01-16T00:00:00"/>
        <d v="2011-12-23T00:00:00"/>
        <d v="2011-09-03T00:00:00"/>
        <d v="2013-04-18T00:00:00"/>
        <d v="2010-11-15T00:00:00"/>
        <d v="2012-07-08T00:00:00"/>
        <d v="2014-04-10T00:00:00"/>
        <d v="2014-07-14T00:00:00"/>
        <d v="2012-04-18T00:00:00"/>
        <d v="2012-09-06T00:00:00"/>
        <d v="2010-10-31T00:00:00"/>
        <d v="2012-04-13T00:00:00"/>
        <d v="2011-12-14T00:00:00"/>
        <d v="2014-03-19T00:00:00"/>
        <d v="2010-07-26T00:00:00"/>
        <d v="2012-09-08T00:00:00"/>
        <d v="2013-08-18T00:00:00"/>
        <d v="2014-08-23T00:00:00"/>
        <d v="2012-04-06T00:00:00"/>
        <d v="2012-09-26T00:00:00"/>
        <d v="2013-04-23T00:00:00"/>
        <d v="2012-12-02T00:00:00"/>
        <d v="2012-04-09T00:00:00"/>
        <d v="2014-03-20T00:00:00"/>
        <d v="2010-05-24T00:00:00"/>
        <d v="2013-06-10T00:00:00"/>
        <d v="2013-11-22T00:00:00"/>
        <d v="2010-12-16T00:00:00"/>
        <d v="2010-01-14T00:00:00"/>
        <d v="2013-01-21T00:00:00"/>
        <d v="2012-06-21T00:00:00"/>
        <d v="2011-08-03T00:00:00"/>
        <d v="2010-04-01T00:00:00"/>
        <d v="2011-05-13T00:00:00"/>
        <d v="2012-09-11T00:00:00"/>
        <d v="2011-07-29T00:00:00"/>
        <d v="2014-12-25T00:00:00"/>
        <d v="2011-07-06T00:00:00"/>
        <d v="2014-06-12T00:00:00"/>
        <d v="2012-02-09T00:00:00"/>
        <d v="2013-02-14T00:00:00"/>
        <d v="2010-05-21T00:00:00"/>
        <d v="2011-03-10T00:00:00"/>
        <d v="2013-07-26T00:00:00"/>
        <d v="2014-08-19T00:00:00"/>
        <d v="2014-09-06T00:00:00"/>
        <d v="2012-03-16T00:00:00"/>
        <d v="2014-07-28T00:00:00"/>
        <d v="2012-09-01T00:00:00"/>
        <d v="2010-12-20T00:00:00"/>
        <d v="2012-05-20T00:00:00"/>
        <d v="2013-01-15T00:00:00"/>
        <d v="2014-11-16T00:00:00"/>
        <d v="2011-09-16T00:00:00"/>
        <d v="2010-02-05T00:00:00"/>
        <d v="2011-02-11T00:00:00"/>
        <d v="2014-01-19T00:00:00"/>
        <d v="2013-06-18T00:00:00"/>
        <d v="2013-02-13T00:00:00"/>
        <d v="2012-07-05T00:00:00"/>
        <d v="2014-09-19T00:00:00"/>
        <d v="2010-10-02T00:00:00"/>
        <d v="2013-01-08T00:00:00"/>
        <d v="2011-09-01T00:00:00"/>
        <d v="2013-11-27T00:00:00"/>
        <d v="2010-07-28T00:00:00"/>
        <d v="2011-05-30T00:00:00"/>
        <d v="2012-07-22T00:00:00"/>
        <d v="2013-02-21T00:00:00"/>
        <d v="2014-08-01T00:00:00"/>
        <d v="2013-05-13T00:00:00"/>
        <d v="2010-02-14T00:00:00"/>
        <d v="2010-12-25T00:00:00"/>
        <d v="2012-09-21T00:00:00"/>
        <d v="2013-09-12T00:00:00"/>
        <d v="2013-06-12T00:00:00"/>
        <d v="2010-01-21T00:00:00"/>
        <d v="2013-04-03T00:00:00"/>
        <d v="2012-08-30T00:00:00"/>
        <d v="2012-10-16T00:00:00"/>
        <d v="2013-05-16T00:00:00"/>
        <d v="2012-06-03T00:00:00"/>
        <d v="2010-07-10T00:00:00"/>
        <d v="2013-05-21T00:00:00"/>
        <d v="2011-12-24T00:00:00"/>
        <d v="2011-07-18T00:00:00"/>
        <d v="2010-08-12T00:00:00"/>
        <d v="2010-04-25T00:00:00"/>
        <d v="2011-07-26T00:00:00"/>
        <d v="2012-06-01T00:00:00"/>
        <d v="2011-06-05T00:00:00"/>
        <d v="2013-06-21T00:00:00"/>
        <d v="2012-10-11T00:00:00"/>
        <d v="2011-08-22T00:00:00"/>
        <d v="2014-07-26T00:00:00"/>
        <d v="2014-01-29T00:00:00"/>
        <d v="2010-10-11T00:00:00"/>
        <d v="2013-01-30T00:00:00"/>
        <d v="2012-03-12T00:00:00"/>
        <d v="2012-12-19T00:00:00"/>
        <d v="2014-09-27T00:00:00"/>
        <d v="2011-08-04T00:00:00"/>
        <d v="2010-06-22T00:00:00"/>
        <d v="2010-05-11T00:00:00"/>
        <d v="2010-06-16T00:00:00"/>
        <d v="2011-01-16T00:00:00"/>
        <d v="2010-04-26T00:00:00"/>
        <d v="2014-06-11T00:00:00"/>
        <d v="2012-07-13T00:00:00"/>
        <d v="2010-02-10T00:00:00"/>
        <d v="2014-02-21T00:00:00"/>
        <d v="2011-11-24T00:00:00"/>
        <d v="2012-01-25T00:00:00"/>
        <d v="2012-08-28T00:00:00"/>
        <d v="2011-02-10T00:00:00"/>
        <d v="2010-09-02T00:00:00"/>
        <d v="2010-01-28T00:00:00"/>
        <d v="2010-04-05T00:00:00"/>
        <d v="2013-11-05T00:00:00"/>
        <d v="2014-04-23T00:00:00"/>
        <d v="2011-02-08T00:00:00"/>
        <d v="2010-07-12T00:00:00"/>
        <d v="2010-02-25T00:00:00"/>
        <d v="2010-08-17T00:00:00"/>
        <d v="2012-03-13T00:00:00"/>
        <d v="2013-03-25T00:00:00"/>
        <d v="2013-09-02T00:00:00"/>
        <d v="2010-01-11T00:00:00"/>
        <d v="2013-01-17T00:00:00"/>
        <d v="2010-06-26T00:00:00"/>
        <d v="2012-05-05T00:00:00"/>
        <d v="2010-06-30T00:00:00"/>
        <d v="2013-07-03T00:00:00"/>
        <d v="2014-01-20T00:00:00"/>
        <d v="2012-12-22T00:00:00"/>
        <d v="2011-08-08T00:00:00"/>
        <d v="2012-12-11T00:00:00"/>
        <d v="2011-05-01T00:00:00"/>
        <d v="2011-10-14T00:00:00"/>
        <d v="2012-06-29T00:00:00"/>
        <d v="2014-10-22T00:00:00"/>
        <d v="2011-12-28T00:00:00"/>
        <d v="2010-11-23T00:00:00"/>
        <d v="2011-07-21T00:00:00"/>
        <d v="2014-03-10T00:00:00"/>
        <d v="2011-07-27T00:00:00"/>
        <d v="2014-05-05T00:00:00"/>
        <d v="2013-05-22T00:00:00"/>
        <d v="2011-01-01T00:00:00"/>
        <d v="2013-06-13T00:00:00"/>
        <d v="2011-12-30T00:00:00"/>
        <d v="2012-08-03T00:00:00"/>
        <d v="2010-10-23T00:00:00"/>
        <d v="2010-03-08T00:00:00"/>
        <d v="2014-01-06T00:00:00"/>
        <d v="2011-03-18T00:00:00"/>
        <d v="2012-09-25T00:00:00"/>
        <d v="2011-02-13T00:00:00"/>
        <d v="2011-09-24T00:00:00"/>
        <d v="2014-08-26T00:00:00"/>
        <d v="2010-03-18T00:00:00"/>
        <d v="2014-09-25T00:00:00"/>
        <d v="2011-01-22T00:00:00"/>
        <d v="2011-02-07T00:00:00"/>
        <d v="2012-02-29T00:00:00"/>
        <d v="2010-04-06T00:00:00"/>
        <d v="2012-11-23T00:00:00"/>
        <d v="2011-08-25T00:00:00"/>
        <d v="2010-10-21T00:00:00"/>
        <d v="2011-10-29T00:00:00"/>
        <d v="2014-02-13T00:00:00"/>
        <d v="2010-01-16T00:00:00"/>
        <d v="2014-03-31T00:00:00"/>
        <d v="2011-04-07T00:00:00"/>
        <d v="2010-02-08T00:00:00"/>
        <d v="2011-03-16T00:00:00"/>
        <d v="2010-07-02T00:00:00"/>
        <d v="2010-12-13T00:00:00"/>
        <d v="2014-11-10T00:00:00"/>
        <d v="2011-12-19T00:00:00"/>
        <d v="2010-06-15T00:00:00"/>
        <d v="2012-10-14T00:00:00"/>
        <d v="2011-10-27T00:00:00"/>
        <d v="2014-10-01T00:00:00"/>
        <d v="2011-08-19T00:00:00"/>
        <d v="2012-05-31T00:00:00"/>
        <d v="2012-11-12T00:00:00"/>
        <d v="2010-03-17T00:00:00"/>
        <d v="2012-03-10T00:00:00"/>
        <d v="2014-02-10T00:00:00"/>
        <d v="2013-07-04T00:00:00"/>
        <d v="2013-07-29T00:00:00"/>
        <d v="2011-06-08T00:00:00"/>
        <d v="2014-03-23T00:00:00"/>
        <d v="2011-06-30T00:00:00"/>
        <d v="2013-12-27T00:00:00"/>
        <d v="2014-07-15T00:00:00"/>
        <d v="2011-11-17T00:00:00"/>
        <d v="2010-12-02T00:00:00"/>
        <d v="2014-07-31T00:00:00"/>
        <d v="2012-03-15T00:00:00"/>
        <d v="2011-04-15T00:00:00"/>
        <d v="2011-06-11T00:00:00"/>
        <d v="2010-06-02T00:00:00"/>
        <d v="2011-08-28T00:00:00"/>
        <d v="2014-01-09T00:00:00"/>
        <d v="2010-01-24T00:00:00"/>
        <d v="2010-03-27T00:00:00"/>
        <d v="2011-05-05T00:00:00"/>
        <d v="2012-02-02T00:00:00"/>
        <d v="2013-02-16T00:00:00"/>
        <d v="2012-10-09T00:00:00"/>
        <d v="2011-08-26T00:00:00"/>
        <d v="2012-09-05T00:00:00"/>
        <d v="2010-08-02T00:00:00"/>
        <d v="2014-12-29T00:00:00"/>
        <d v="2013-04-29T00:00:00"/>
        <d v="2011-04-11T00:00:00"/>
        <d v="2014-02-04T00:00:00"/>
        <d v="2013-12-09T00:00:00"/>
        <d v="2012-10-27T00:00:00"/>
        <d v="2011-09-12T00:00:00"/>
        <d v="2012-03-02T00:00:00"/>
        <d v="2014-09-09T00:00:00"/>
        <d v="2013-06-07T00:00:00"/>
        <d v="2011-10-11T00:00:00"/>
        <d v="2010-04-22T00:00:00"/>
        <d v="2014-08-07T00:00:00"/>
        <d v="2010-01-03T00:00:00"/>
        <d v="2012-10-05T00:00:00"/>
        <d v="2014-11-21T00:00:00"/>
        <d v="2010-07-06T00:00:00"/>
        <d v="2012-09-28T00:00:00"/>
        <d v="2010-04-19T00:00:00"/>
        <d v="2013-09-23T00:00:00"/>
        <d v="2010-04-08T00:00:00"/>
        <d v="2010-06-09T00:00:00"/>
        <d v="2010-03-29T00:00:00"/>
        <d v="2010-10-03T00:00:00"/>
        <d v="2013-02-09T00:00:00"/>
        <d v="2014-07-27T00:00:00"/>
        <d v="2010-01-05T00:00:00"/>
        <d v="2012-03-21T00:00:00"/>
        <d v="2010-04-09T00:00:00"/>
        <d v="2010-10-06T00:00:00"/>
        <d v="2014-01-16T00:00:00"/>
        <d v="2013-02-04T00:00:00"/>
        <d v="2010-07-22T00:00:00"/>
        <d v="2011-06-03T00:00:00"/>
        <d v="2014-05-21T00:00:00"/>
        <d v="2010-03-01T00:00:00"/>
        <d v="2013-07-22T00:00:00"/>
        <d v="2011-06-01T00:00:00"/>
        <d v="2011-09-07T00:00:00"/>
        <d v="2012-07-20T00:00:00"/>
        <d v="2014-11-24T00:00:00"/>
        <d v="2010-11-29T00:00:00"/>
        <d v="2010-05-04T00:00:00"/>
        <d v="2011-02-25T00:00:00"/>
        <d v="2014-08-24T00:00:00"/>
        <d v="2014-01-26T00:00:00"/>
        <d v="2012-10-20T00:00:00"/>
        <d v="2011-03-26T00:00:00"/>
        <d v="2014-09-21T00:00:00"/>
        <d v="2013-11-08T00:00:00"/>
        <d v="2011-06-29T00:00:00"/>
        <d v="2012-03-05T00:00:00"/>
        <d v="2010-10-05T00:00:00"/>
        <d v="2010-10-20T00:00:00"/>
        <d v="2010-09-05T00:00:00"/>
        <d v="2014-12-22T00:00:00"/>
        <d v="2014-05-26T00:00:00"/>
        <d v="2014-04-28T00:00:00"/>
        <d v="2010-03-10T00:00:00"/>
        <d v="2011-10-28T00:00:00"/>
        <d v="2014-04-22T00:00:00"/>
        <d v="2013-09-19T00:00:00"/>
        <d v="2011-12-31T00:00:00"/>
        <d v="2010-06-07T00:00:00"/>
        <d v="2013-10-15T00:00:00"/>
        <d v="2010-09-13T00:00:00"/>
        <d v="2010-11-17T00:00:00"/>
        <d v="2013-10-16T00:00:00"/>
        <d v="2010-12-28T00:00:00"/>
        <d v="2014-09-11T00:00:00"/>
        <d v="2013-05-08T00:00:00"/>
        <d v="2011-07-09T00:00:00"/>
        <d v="2011-07-15T00:00:00"/>
        <d v="2011-03-12T00:00:00"/>
        <d v="2012-07-30T00:00:00"/>
        <d v="2010-06-29T00:00:00"/>
        <d v="2013-02-18T00:00:00"/>
        <d v="2014-05-07T00:00:00"/>
        <d v="2012-05-04T00:00:00"/>
        <d v="2011-12-04T00:00:00"/>
        <d v="2012-01-26T00:00:00"/>
        <d v="2013-06-14T00:00:00"/>
        <d v="2010-10-18T00:00:00"/>
        <d v="2013-10-14T00:00:00"/>
        <d v="2011-06-15T00:00:00"/>
        <d v="2010-08-18T00:00:00"/>
        <d v="2010-08-07T00:00:00"/>
        <d v="2012-05-08T00:00:00"/>
        <d v="2011-08-21T00:00:00"/>
        <d v="2013-01-11T00:00:00"/>
        <d v="2013-12-14T00:00:00"/>
        <d v="2013-10-19T00:00:00"/>
        <d v="2012-02-15T00:00:00"/>
        <d v="2013-03-26T00:00:00"/>
        <d v="2012-09-09T00:00:00"/>
        <d v="2013-05-04T00:00:00"/>
        <d v="2011-12-21T00:00:00"/>
        <d v="2010-09-16T00:00:00"/>
        <d v="2010-01-17T00:00:00"/>
        <d v="2010-08-01T00:00:00"/>
        <d v="2014-03-27T00:00:00"/>
        <d v="2012-01-06T00:00:00"/>
        <d v="2010-11-30T00:00:00"/>
        <d v="2013-10-06T00:00:00"/>
        <d v="2014-01-05T00:00:00"/>
        <d v="2011-12-07T00:00:00"/>
        <d v="2010-02-13T00:00:00"/>
        <d v="2011-08-13T00:00:00"/>
        <d v="2011-11-28T00:00:00"/>
        <d v="2013-09-16T00:00:00"/>
        <d v="2010-10-28T00:00:00"/>
        <d v="2011-01-30T00:00:00"/>
        <d v="2014-09-29T00:00:00"/>
        <d v="2012-08-09T00:00:00"/>
        <d v="2010-09-01T00:00:00"/>
        <d v="2010-11-20T00:00:00"/>
        <d v="2014-10-17T00:00:00"/>
        <d v="2010-12-18T00:00:00"/>
        <d v="2011-10-17T00:00:00"/>
        <d v="2011-02-05T00:00:00"/>
        <d v="2013-03-09T00:00:00"/>
        <d v="2014-03-02T00:00:00"/>
        <d v="2013-08-19T00:00:00"/>
        <d v="2010-09-03T00:00:00"/>
        <d v="2011-07-11T00:00:00"/>
        <d v="2010-12-19T00:00:00"/>
        <d v="2012-05-17T00:00:00"/>
        <d v="2010-11-02T00:00:00"/>
        <d v="2010-04-27T00:00:00"/>
        <d v="2011-10-23T00:00:00"/>
        <d v="2012-01-15T00:00:00"/>
        <d v="2014-06-14T00:00:00"/>
        <d v="2014-03-16T00:00:00"/>
        <d v="2010-05-23T00:00:00"/>
        <d v="2014-05-02T00:00:00"/>
        <d v="2013-09-05T00:00:00"/>
        <d v="2014-06-19T00:00:00"/>
        <d v="2010-01-12T00:00:00"/>
        <d v="2013-08-07T00:00:00"/>
        <d v="2010-02-09T00:00:00"/>
        <d v="2010-06-01T00:00:00"/>
        <d v="2010-05-16T00:00:00"/>
        <d v="2013-08-13T00:00:00"/>
        <d v="2012-11-30T00:00:00"/>
        <d v="2011-08-11T00:00:00"/>
        <d v="2014-08-12T00:00:00"/>
        <d v="2014-11-28T00:00:00"/>
        <d v="2012-04-10T00:00:00"/>
        <d v="2013-11-21T00:00:00"/>
        <d v="2013-01-06T00:00:00"/>
        <d v="2013-10-12T00:00:00"/>
        <d v="2011-04-05T00:00:00"/>
        <d v="2013-12-17T00:00:00"/>
        <d v="2012-01-07T00:00:00"/>
        <d v="2011-10-20T00:00:00"/>
        <d v="2012-03-14T00:00:00"/>
        <d v="2012-09-04T00:00:00"/>
        <d v="2010-12-11T00:00:00"/>
        <d v="2014-01-03T00:00:00"/>
        <d v="2012-10-24T00:00:00"/>
        <d v="2014-01-12T00:00:00"/>
        <d v="2013-05-02T00:00:00"/>
        <d v="2010-11-22T00:00:00"/>
        <d v="2013-12-07T00:00:00"/>
        <d v="2013-04-28T00:00:00"/>
        <d v="2013-09-24T00:00:00"/>
        <d v="2014-10-03T00:00:00"/>
        <d v="2011-05-21T00:00:00"/>
        <d v="2011-10-04T00:00:00"/>
        <d v="2014-06-24T00:00:00"/>
        <d v="2013-12-10T00:00:00"/>
        <d v="2014-10-11T00:00:00"/>
        <d v="2010-10-15T00:00:00"/>
        <d v="2010-09-07T00:00:00"/>
        <d v="2011-07-20T00:00:00"/>
        <d v="2012-05-07T00:00:00"/>
        <d v="2010-08-27T00:00:00"/>
        <d v="2011-09-08T00:00:00"/>
        <d v="2014-11-09T00:00:00"/>
        <d v="2014-11-26T00:00:00"/>
        <d v="2012-04-21T00:00:00"/>
        <d v="2011-11-19T00:00:00"/>
        <d v="2013-02-07T00:00:00"/>
        <d v="2012-11-28T00:00:00"/>
        <d v="2012-06-16T00:00:00"/>
        <d v="2011-11-18T00:00:00"/>
        <d v="2012-05-15T00:00:00"/>
        <d v="2011-11-22T00:00:00"/>
        <d v="2012-02-23T00:00:00"/>
        <d v="2011-12-18T00:00:00"/>
        <d v="2011-05-26T00:00:00"/>
        <d v="2014-01-28T00:00:00"/>
        <d v="2011-12-22T00:00:00"/>
        <d v="2012-10-08T00:00:00"/>
        <d v="2014-02-16T00:00:00"/>
        <d v="2013-12-08T00:00:00"/>
        <d v="2013-10-13T00:00:00"/>
        <d v="2010-12-29T00:00:00"/>
        <d v="2010-07-23T00:00:00"/>
        <d v="2014-11-07T00:00:00"/>
        <d v="2010-07-08T00:00:00"/>
        <d v="2011-02-26T00:00:00"/>
        <d v="2011-02-18T00:00:00"/>
        <d v="2014-08-28T00:00:00"/>
        <d v="2011-09-23T00:00:00"/>
        <d v="2013-08-10T00:00:00"/>
        <d v="2013-06-09T00:00:00"/>
        <d v="2010-06-13T00:00:00"/>
        <d v="2010-07-07T00:00:00"/>
        <d v="2013-11-26T00:00:00"/>
        <d v="2013-11-16T00:00:00"/>
        <d v="2010-11-28T00:00:00"/>
        <d v="2013-09-01T00:00:00"/>
        <d v="2011-04-16T00:00:00"/>
        <d v="2011-04-21T00:00:00"/>
        <d v="2010-07-18T00:00:00"/>
        <d v="2010-02-17T00:00:00"/>
        <d v="2013-02-24T00:00:00"/>
        <d v="2014-08-05T00:00:00"/>
        <d v="2011-11-08T00:00:00"/>
        <d v="2010-01-29T00:00:00"/>
        <d v="2014-10-15T00:00:00"/>
        <d v="2011-05-29T00:00:00"/>
        <d v="2014-03-24T00:00:00"/>
        <d v="2010-09-04T00:00:00"/>
        <d v="2011-03-07T00:00:00"/>
        <d v="2012-01-11T00:00:00"/>
        <d v="2013-05-14T00:00:00"/>
        <d v="2012-01-17T00:00:00"/>
        <d v="2012-10-31T00:00:00"/>
        <d v="2013-12-03T00:00:00"/>
        <d v="2011-10-08T00:00:00"/>
        <d v="2014-12-10T00:00:00"/>
        <d v="2014-02-27T00:00:00"/>
        <d v="2013-06-26T00:00:00"/>
        <d v="2014-12-15T00:00:00"/>
        <d v="2011-08-27T00:00:00"/>
        <d v="2011-11-21T00:00:00"/>
        <d v="2010-10-26T00:00:00"/>
        <d v="2014-09-01T00:00:00"/>
        <d v="2013-10-30T00:00:00"/>
        <d v="2013-02-28T00:00:00"/>
        <d v="2013-11-17T00:00:00"/>
        <d v="2014-08-06T00:00:00"/>
        <d v="2010-09-19T00:00:00"/>
        <d v="2012-04-15T00:00:00"/>
        <d v="2011-01-05T00:00:00"/>
        <d v="2011-01-17T00:00:00"/>
        <d v="2011-06-21T00:00:00"/>
        <d v="2013-02-26T00:00:00"/>
        <d v="2012-02-05T00:00:00"/>
        <d v="2010-08-19T00:00:00"/>
        <d v="2013-10-31T00:00:00"/>
        <d v="2012-11-04T00:00:00"/>
        <d v="2010-11-14T00:00:00"/>
        <d v="2013-03-03T00:00:00"/>
        <d v="2010-11-11T00:00:00"/>
        <d v="2013-12-29T00:00:00"/>
        <d v="2010-08-03T00:00:00"/>
        <d v="2013-01-01T00:00:00"/>
        <d v="2013-03-21T00:00:00"/>
        <d v="2013-07-12T00:00:00"/>
        <d v="2012-07-15T00:00:00"/>
        <d v="2012-06-18T00:00:00"/>
        <d v="2011-07-28T00:00:00"/>
        <d v="2012-05-18T00:00:00"/>
        <d v="2010-02-28T00:00:00"/>
        <d v="2010-03-26T00:00:00"/>
        <d v="2012-11-15T00:00:00"/>
        <d v="2010-07-27T00:00:00"/>
        <d v="2014-12-23T00:00:00"/>
        <d v="2014-01-10T00:00:00"/>
        <d v="2010-08-14T00:00:00"/>
        <d v="2014-07-29T00:00:00"/>
        <d v="2010-12-17T00:00:00"/>
        <d v="2010-12-30T00:00:00"/>
        <d v="2012-08-06T00:00:00"/>
        <d v="2014-06-08T00:00:00"/>
        <d v="2011-11-25T00:00:00"/>
        <d v="2010-11-13T00:00:00"/>
        <d v="2011-12-16T00:00:00"/>
        <d v="2013-05-25T00:00:00"/>
        <d v="2010-05-03T00:00:00"/>
        <d v="2012-04-17T00:00:00"/>
        <d v="2014-02-25T00:00:00"/>
        <d v="2010-07-17T00:00:00"/>
        <d v="2014-10-24T00:00:00"/>
        <d v="2010-10-09T00:00:00"/>
        <d v="2010-08-26T00:00:00"/>
        <d v="2012-10-01T00:00:00"/>
        <d v="2010-09-22T00:00:00"/>
        <d v="2014-08-03T00:00:00"/>
        <d v="2010-05-26T00:00:00"/>
        <d v="2011-11-06T00:00:00"/>
        <d v="2014-06-17T00:00:00"/>
        <d v="2013-09-15T00:00:00"/>
        <d v="2014-07-05T00:00:00"/>
        <d v="2011-06-02T00:00:00"/>
        <d v="2012-05-16T00:00:00"/>
        <d v="2014-11-04T00:00:00"/>
        <d v="2012-09-10T00:00:00"/>
        <d v="2013-09-14T00:00:00"/>
        <d v="2013-08-25T00:00:00"/>
        <d v="2013-08-17T00:00:00"/>
        <d v="2010-03-20T00:00:00"/>
        <d v="2011-10-31T00:00:00"/>
        <d v="2014-12-05T00:00:00"/>
        <d v="2011-07-07T00:00:00"/>
        <d v="2014-07-16T00:00:00"/>
        <d v="2013-06-08T00:00:00"/>
        <d v="2011-11-12T00:00:00"/>
        <d v="2013-04-14T00:00:00"/>
        <d v="2014-06-10T00:00:00"/>
        <d v="2013-01-31T00:00:00"/>
        <d v="2014-03-15T00:00:00"/>
        <d v="2014-02-15T00:00:00"/>
        <d v="2011-02-19T00:00:00"/>
        <d v="2012-04-19T00:00:00"/>
        <d v="2012-06-26T00:00:00"/>
        <d v="2011-07-17T00:00:00"/>
        <d v="2013-07-16T00:00:00"/>
        <d v="2010-06-11T00:00:00"/>
        <d v="2012-12-18T00:00:00"/>
        <d v="2013-01-22T00:00:00"/>
        <d v="2014-12-31T00:00:00"/>
        <d v="2011-10-12T00:00:00"/>
        <d v="2013-06-22T00:00:00"/>
        <d v="2011-11-02T00:00:00"/>
        <d v="2010-11-08T00:00:00"/>
        <d v="2013-11-18T00:00:00"/>
        <d v="2014-07-04T00:00:00"/>
        <d v="2013-04-27T00:00:00"/>
        <d v="2013-01-07T00:00:00"/>
        <d v="2010-04-28T00:00:00"/>
        <d v="2010-11-19T00:00:00"/>
        <d v="2012-11-14T00:00:00"/>
        <d v="2011-01-04T00:00:00"/>
        <d v="2014-12-09T00:00:00"/>
        <d v="2011-02-28T00:00:00"/>
        <d v="2011-09-25T00:00:00"/>
        <d v="2010-01-07T00:00:00"/>
        <d v="2012-07-25T00:00:00"/>
        <d v="2013-04-07T00:00:00"/>
        <d v="2013-06-02T00:00:00"/>
        <d v="2014-08-27T00:00:00"/>
        <d v="2014-09-02T00:00:00"/>
        <d v="2012-02-28T00:00:00"/>
        <d v="2012-07-23T00:00:00"/>
        <d v="2013-04-08T00:00:00"/>
        <d v="2011-04-02T00:00:00"/>
        <d v="2013-02-12T00:00:00"/>
        <d v="2011-09-05T00:00:00"/>
        <d v="2010-08-16T00:00:00"/>
        <d v="2010-05-30T00:00:00"/>
        <d v="2011-09-21T00:00:00"/>
        <d v="2011-03-30T00:00:00"/>
        <d v="2013-08-02T00:00:00"/>
        <d v="2012-04-14T00:00:00"/>
        <d v="2013-11-07T00:00:00"/>
        <d v="2012-01-16T00:00:00"/>
        <d v="2014-05-11T00:00:00"/>
        <d v="2011-08-06T00:00:00"/>
        <d v="2011-06-04T00:00:00"/>
        <d v="2012-11-17T00:00:00"/>
        <d v="2010-12-10T00:00:00"/>
        <d v="2014-02-06T00:00:00"/>
        <d v="2010-04-20T00:00:00"/>
        <d v="2013-05-27T00:00:00"/>
        <d v="2012-08-26T00:00:00"/>
        <d v="2010-04-21T00:00:00"/>
        <d v="2014-01-15T00:00:00"/>
        <d v="2014-05-14T00:00:00"/>
        <d v="2012-05-29T00:00:00"/>
        <d v="2012-06-24T00:00:00"/>
        <d v="2013-12-24T00:00:00"/>
        <d v="2010-08-09T00:00:00"/>
        <d v="2010-05-22T00:00:00"/>
        <d v="2014-11-18T00:00:00"/>
        <d v="2011-01-20T00:00:00"/>
        <d v="2013-11-24T00:00:00"/>
        <d v="2012-01-10T00:00:00"/>
        <d v="2013-03-24T00:00:00"/>
        <d v="2014-10-05T00:00:00"/>
        <d v="2012-04-07T00:00:00"/>
        <d v="2010-11-06T00:00:00"/>
        <d v="2013-08-22T00:00:00"/>
        <d v="2012-06-17T00:00:00"/>
        <d v="2011-11-14T00:00:00"/>
        <d v="2014-01-22T00:00:00"/>
        <d v="2013-02-15T00:00:00"/>
        <d v="2012-04-26T00:00:00"/>
        <d v="2014-12-24T00:00:00"/>
        <d v="2011-03-03T00:00:00"/>
        <d v="2014-09-17T00:00:00"/>
        <d v="2012-11-16T00:00:00"/>
        <d v="2014-08-04T00:00:00"/>
        <d v="2011-01-12T00:00:00"/>
        <d v="2014-04-12T00:00:00"/>
        <d v="2011-07-16T00:00:00"/>
        <d v="2011-12-25T00:00:00"/>
        <d v="2011-06-22T00:00:00"/>
        <d v="2014-08-16T00:00:00"/>
        <d v="2014-11-01T00:00:00"/>
        <d v="2012-12-31T00:00:00"/>
        <d v="2014-10-04T00:00:00"/>
        <d v="2014-08-14T00:00:00"/>
        <d v="2010-06-19T00:00:00"/>
        <d v="2012-04-28T00:00:00"/>
        <d v="2013-12-23T00:00:00"/>
        <d v="2013-03-18T00:00:00"/>
        <d v="2013-01-18T00:00:00"/>
        <d v="2012-04-08T00:00:00"/>
        <d v="2014-04-04T00:00:00"/>
        <d v="2011-01-25T00:00:00"/>
        <d v="2012-07-27T00:00:00"/>
        <d v="2012-12-23T00:00:00"/>
        <d v="2012-09-29T00:00:00"/>
        <d v="2011-01-13T00:00:00"/>
        <d v="2012-05-13T00:00:00"/>
        <d v="2012-12-09T00:00:00"/>
        <d v="2011-05-07T00:00:00"/>
        <d v="2014-08-30T00:00:00"/>
        <d v="2010-06-04T00:00:00"/>
        <d v="2013-09-17T00:00:00"/>
        <d v="2013-09-18T00:00:00"/>
        <d v="2011-02-09T00:00:00"/>
        <d v="2014-06-05T00:00:00"/>
        <d v="2013-07-27T00:00:00"/>
        <d v="2014-11-30T00:00:00"/>
        <d v="2012-03-31T00:00:00"/>
        <d v="2010-04-16T00:00:00"/>
        <d v="2011-06-18T00:00:00"/>
        <d v="2011-12-11T00:00:00"/>
        <d v="2013-06-29T00:00:00"/>
        <d v="2010-08-05T00:00:00"/>
        <d v="2011-01-11T00:00:00"/>
        <d v="2011-08-16T00:00:00"/>
        <d v="2010-09-27T00:00:00"/>
        <d v="2013-11-11T00:00:00"/>
        <d v="2010-05-19T00:00:00"/>
        <d v="2014-08-09T00:00:00"/>
        <d v="2014-11-27T00:00:00"/>
        <d v="2010-02-03T00:00:00"/>
        <d v="2010-04-03T00:00:00"/>
        <d v="2012-10-04T00:00:00"/>
        <d v="2013-02-10T00:00:00"/>
        <d v="2011-02-23T00:00:00"/>
        <d v="2011-03-02T00:00:00"/>
        <d v="2013-06-06T00:00:00"/>
        <d v="2014-01-17T00:00:00"/>
        <d v="2011-11-09T00:00:00"/>
        <d v="2012-05-14T00:00:00"/>
        <d v="2012-12-28T00:00:00"/>
        <d v="2011-11-13T00:00:00"/>
        <d v="2011-01-23T00:00:00"/>
        <d v="2011-12-15T00:00:00"/>
        <d v="2014-02-17T00:00:00"/>
        <d v="2010-03-11T00:00:00"/>
        <d v="2011-08-05T00:00:00"/>
        <d v="2011-06-26T00:00:00"/>
        <d v="2012-11-06T00:00:00"/>
        <d v="2013-07-02T00:00:00"/>
        <d v="2014-03-09T00:00:00"/>
        <d v="2010-01-18T00:00:00"/>
        <d v="2010-03-03T00:00:00"/>
        <d v="2012-12-27T00:00:00"/>
        <d v="2010-08-25T00:00:00"/>
        <d v="2013-10-26T00:00:00"/>
        <d v="2014-05-06T00:00:00"/>
        <d v="2014-09-05T00:00:00"/>
        <d v="2014-08-21T00:00:00"/>
        <d v="2014-03-30T00:00:00"/>
        <d v="2014-04-03T00:00:00"/>
        <d v="2013-06-05T00:00:00"/>
        <d v="2011-04-08T00:00:00"/>
        <d v="2011-04-10T00:00:00"/>
        <d v="2011-01-10T00:00:00"/>
        <d v="2013-09-03T00:00:00"/>
        <d v="2012-05-24T00:00:00"/>
        <d v="2013-07-10T00:00:00"/>
        <d v="2010-10-01T00:00:00"/>
        <d v="2013-03-07T00:00:00"/>
      </sharedItems>
      <fieldGroup par="8"/>
    </cacheField>
    <cacheField name="Provincia" numFmtId="0">
      <sharedItems count="20">
        <s v="Sevilla"/>
        <s v="Huelva"/>
        <s v="Jaen"/>
        <s v="Cordoba"/>
        <s v="Malaga"/>
        <s v="Granada"/>
        <s v="Madrid"/>
        <s v="Albacete"/>
        <s v="Cadiz"/>
        <s v="Zaragoza"/>
        <s v="Murcia"/>
        <s v="Asturias"/>
        <s v="Tarragona"/>
        <s v="Almeria"/>
        <s v="Toledo"/>
        <s v="Badajoz"/>
        <s v="Valladolid"/>
        <s v="Leon"/>
        <s v="Lerida"/>
        <s v="Caceres"/>
      </sharedItems>
    </cacheField>
    <cacheField name="Centro" numFmtId="0">
      <sharedItems count="6">
        <s v="El corte ingles"/>
        <s v="C.C. Nervion"/>
        <s v="Supermercados MAS"/>
        <s v="Metromar"/>
        <s v="C.C. Vicar"/>
        <s v="Carrefour"/>
      </sharedItems>
    </cacheField>
    <cacheField name="Producto" numFmtId="0">
      <sharedItems count="5">
        <s v="Home Cinema"/>
        <s v="TV 32 pulgadas"/>
        <s v="Frigorifico"/>
        <s v="Aspiradora"/>
        <s v="Lavadora 8 Kg"/>
      </sharedItems>
    </cacheField>
    <cacheField name="Cantidad" numFmtId="0">
      <sharedItems containsMixedTypes="1" containsNumber="1" minValue="1" maxValue="295"/>
    </cacheField>
    <cacheField name="Precio" numFmtId="0">
      <sharedItems containsSemiMixedTypes="0" containsString="0" containsNumber="1" minValue="450" maxValue="1200"/>
    </cacheField>
    <cacheField name="Total" numFmtId="0">
      <sharedItems containsMixedTypes="1" containsNumber="1" minValue="450" maxValue="336000"/>
    </cacheField>
    <cacheField name="Quarters (Fecha)" numFmtId="0" databaseField="0">
      <fieldGroup base="0">
        <rangePr groupBy="quarters" startDate="2010-01-03T00:00:00" endDate="2015-01-01T00:00:00"/>
        <groupItems count="6">
          <s v="&lt;03/01/2010"/>
          <s v="Qtr1"/>
          <s v="Qtr2"/>
          <s v="Qtr3"/>
          <s v="Qtr4"/>
          <s v="&gt;01/01/2015"/>
        </groupItems>
      </fieldGroup>
    </cacheField>
    <cacheField name="Years (Fecha)" numFmtId="0" databaseField="0">
      <fieldGroup base="0">
        <rangePr groupBy="years" startDate="2010-01-03T00:00:00" endDate="2015-01-01T00:00:00"/>
        <groupItems count="8">
          <s v="&lt;03/01/2010"/>
          <s v="2010"/>
          <s v="2011"/>
          <s v="2012"/>
          <s v="2013"/>
          <s v="2014"/>
          <s v="2015"/>
          <s v="&gt;01/0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7">
  <r>
    <d v="2012-09-16T00:00:00"/>
    <x v="0"/>
    <x v="0"/>
    <x v="0"/>
    <n v="13"/>
    <n v="650"/>
    <n v="8450"/>
  </r>
  <r>
    <d v="2011-05-11T00:00:00"/>
    <x v="0"/>
    <x v="1"/>
    <x v="1"/>
    <n v="1"/>
    <n v="1200"/>
    <n v="1200"/>
  </r>
  <r>
    <d v="2012-08-22T00:00:00"/>
    <x v="0"/>
    <x v="2"/>
    <x v="1"/>
    <n v="20"/>
    <n v="1200"/>
    <n v="24000"/>
  </r>
  <r>
    <d v="2012-05-21T00:00:00"/>
    <x v="0"/>
    <x v="3"/>
    <x v="2"/>
    <n v="64"/>
    <n v="800"/>
    <n v="51200"/>
  </r>
  <r>
    <d v="2013-04-01T00:00:00"/>
    <x v="0"/>
    <x v="0"/>
    <x v="2"/>
    <n v="58"/>
    <n v="800"/>
    <n v="46400"/>
  </r>
  <r>
    <d v="2013-09-25T00:00:00"/>
    <x v="0"/>
    <x v="2"/>
    <x v="2"/>
    <n v="18"/>
    <n v="800"/>
    <n v="14400"/>
  </r>
  <r>
    <d v="2013-02-27T00:00:00"/>
    <x v="0"/>
    <x v="2"/>
    <x v="3"/>
    <n v="9"/>
    <n v="950"/>
    <n v="8550"/>
  </r>
  <r>
    <d v="2013-07-13T00:00:00"/>
    <x v="0"/>
    <x v="2"/>
    <x v="4"/>
    <n v="18"/>
    <n v="450"/>
    <n v="8100"/>
  </r>
  <r>
    <d v="2014-12-08T00:00:00"/>
    <x v="0"/>
    <x v="4"/>
    <x v="0"/>
    <n v="51"/>
    <n v="650"/>
    <n v="33150"/>
  </r>
  <r>
    <d v="2014-09-20T00:00:00"/>
    <x v="0"/>
    <x v="4"/>
    <x v="2"/>
    <n v="27"/>
    <n v="800"/>
    <n v="21600"/>
  </r>
  <r>
    <d v="2012-08-15T00:00:00"/>
    <x v="0"/>
    <x v="5"/>
    <x v="2"/>
    <n v="26"/>
    <n v="800"/>
    <n v="20800"/>
  </r>
  <r>
    <d v="2011-01-07T00:00:00"/>
    <x v="0"/>
    <x v="4"/>
    <x v="1"/>
    <n v="36"/>
    <n v="1200"/>
    <n v="43200"/>
  </r>
  <r>
    <d v="2012-11-10T00:00:00"/>
    <x v="0"/>
    <x v="0"/>
    <x v="3"/>
    <n v="27"/>
    <n v="950"/>
    <n v="25650"/>
  </r>
  <r>
    <d v="2012-11-22T00:00:00"/>
    <x v="0"/>
    <x v="2"/>
    <x v="3"/>
    <n v="13"/>
    <n v="950"/>
    <n v="12350"/>
  </r>
  <r>
    <d v="2013-11-01T00:00:00"/>
    <x v="0"/>
    <x v="4"/>
    <x v="3"/>
    <n v="1"/>
    <n v="820"/>
    <n v="820"/>
  </r>
  <r>
    <d v="2014-12-17T00:00:00"/>
    <x v="0"/>
    <x v="2"/>
    <x v="3"/>
    <n v="1"/>
    <n v="820"/>
    <n v="820"/>
  </r>
  <r>
    <d v="2010-02-21T00:00:00"/>
    <x v="0"/>
    <x v="5"/>
    <x v="3"/>
    <n v="24"/>
    <n v="820"/>
    <n v="19680"/>
  </r>
  <r>
    <d v="2014-06-03T00:00:00"/>
    <x v="0"/>
    <x v="2"/>
    <x v="3"/>
    <n v="11"/>
    <n v="820"/>
    <n v="9020"/>
  </r>
  <r>
    <d v="2014-05-12T00:00:00"/>
    <x v="0"/>
    <x v="0"/>
    <x v="1"/>
    <n v="63"/>
    <n v="1200"/>
    <n v="75600"/>
  </r>
  <r>
    <d v="2012-04-16T00:00:00"/>
    <x v="0"/>
    <x v="5"/>
    <x v="3"/>
    <n v="17"/>
    <n v="820"/>
    <n v="13940"/>
  </r>
  <r>
    <d v="2010-12-08T00:00:00"/>
    <x v="0"/>
    <x v="0"/>
    <x v="3"/>
    <n v="116"/>
    <n v="950"/>
    <n v="110200"/>
  </r>
  <r>
    <d v="2011-03-17T00:00:00"/>
    <x v="0"/>
    <x v="3"/>
    <x v="3"/>
    <n v="27"/>
    <n v="820"/>
    <n v="22140"/>
  </r>
  <r>
    <d v="2010-06-17T00:00:00"/>
    <x v="0"/>
    <x v="0"/>
    <x v="3"/>
    <n v="41"/>
    <n v="950"/>
    <n v="38950"/>
  </r>
  <r>
    <d v="2012-03-03T00:00:00"/>
    <x v="0"/>
    <x v="5"/>
    <x v="2"/>
    <n v="6"/>
    <n v="800"/>
    <n v="4800"/>
  </r>
  <r>
    <d v="2010-12-22T00:00:00"/>
    <x v="0"/>
    <x v="4"/>
    <x v="1"/>
    <n v="130"/>
    <n v="1200"/>
    <n v="156000"/>
  </r>
  <r>
    <d v="2012-05-23T00:00:00"/>
    <x v="0"/>
    <x v="1"/>
    <x v="2"/>
    <n v="44"/>
    <n v="800"/>
    <n v="35200"/>
  </r>
  <r>
    <d v="2010-10-14T00:00:00"/>
    <x v="0"/>
    <x v="1"/>
    <x v="2"/>
    <n v="4"/>
    <n v="800"/>
    <n v="3200"/>
  </r>
  <r>
    <d v="2014-06-06T00:00:00"/>
    <x v="0"/>
    <x v="3"/>
    <x v="3"/>
    <n v="108"/>
    <n v="820"/>
    <n v="88560"/>
  </r>
  <r>
    <d v="2010-12-12T00:00:00"/>
    <x v="0"/>
    <x v="5"/>
    <x v="3"/>
    <n v="58"/>
    <n v="820"/>
    <n v="47560"/>
  </r>
  <r>
    <d v="2014-12-03T00:00:00"/>
    <x v="0"/>
    <x v="5"/>
    <x v="0"/>
    <n v="42"/>
    <n v="650"/>
    <n v="27300"/>
  </r>
  <r>
    <d v="2010-06-05T00:00:00"/>
    <x v="0"/>
    <x v="5"/>
    <x v="2"/>
    <n v="69"/>
    <n v="800"/>
    <n v="55200"/>
  </r>
  <r>
    <d v="2010-12-27T00:00:00"/>
    <x v="0"/>
    <x v="0"/>
    <x v="0"/>
    <n v="69"/>
    <n v="650"/>
    <n v="44850"/>
  </r>
  <r>
    <d v="2012-10-28T00:00:00"/>
    <x v="0"/>
    <x v="4"/>
    <x v="1"/>
    <n v="64"/>
    <n v="1200"/>
    <n v="76800"/>
  </r>
  <r>
    <d v="2011-09-09T00:00:00"/>
    <x v="0"/>
    <x v="5"/>
    <x v="2"/>
    <n v="41"/>
    <n v="800"/>
    <n v="32800"/>
  </r>
  <r>
    <d v="2011-09-19T00:00:00"/>
    <x v="0"/>
    <x v="2"/>
    <x v="2"/>
    <n v="14"/>
    <n v="800"/>
    <n v="11200"/>
  </r>
  <r>
    <d v="2014-03-14T00:00:00"/>
    <x v="0"/>
    <x v="4"/>
    <x v="2"/>
    <n v="9"/>
    <n v="800"/>
    <n v="7200"/>
  </r>
  <r>
    <d v="2012-12-30T00:00:00"/>
    <x v="0"/>
    <x v="5"/>
    <x v="2"/>
    <n v="79"/>
    <n v="800"/>
    <n v="63200"/>
  </r>
  <r>
    <d v="2012-11-20T00:00:00"/>
    <x v="0"/>
    <x v="1"/>
    <x v="3"/>
    <n v="8"/>
    <n v="820"/>
    <n v="6560"/>
  </r>
  <r>
    <d v="2013-03-17T00:00:00"/>
    <x v="0"/>
    <x v="1"/>
    <x v="1"/>
    <n v="28"/>
    <n v="1200"/>
    <n v="33600"/>
  </r>
  <r>
    <d v="2014-05-22T00:00:00"/>
    <x v="0"/>
    <x v="3"/>
    <x v="3"/>
    <n v="13"/>
    <n v="950"/>
    <n v="12350"/>
  </r>
  <r>
    <d v="2012-04-25T00:00:00"/>
    <x v="0"/>
    <x v="2"/>
    <x v="2"/>
    <n v="7"/>
    <n v="800"/>
    <n v="5600"/>
  </r>
  <r>
    <d v="2014-08-31T00:00:00"/>
    <x v="0"/>
    <x v="3"/>
    <x v="2"/>
    <n v="20"/>
    <n v="800"/>
    <n v="16000"/>
  </r>
  <r>
    <d v="2011-06-19T00:00:00"/>
    <x v="0"/>
    <x v="1"/>
    <x v="1"/>
    <n v="31"/>
    <n v="1200"/>
    <n v="37200"/>
  </r>
  <r>
    <d v="2010-04-24T00:00:00"/>
    <x v="0"/>
    <x v="4"/>
    <x v="2"/>
    <n v="66"/>
    <n v="800"/>
    <n v="52800"/>
  </r>
  <r>
    <d v="2013-05-17T00:00:00"/>
    <x v="0"/>
    <x v="3"/>
    <x v="2"/>
    <n v="42"/>
    <n v="800"/>
    <n v="33600"/>
  </r>
  <r>
    <d v="2010-10-10T00:00:00"/>
    <x v="0"/>
    <x v="3"/>
    <x v="2"/>
    <n v="38"/>
    <n v="800"/>
    <n v="30400"/>
  </r>
  <r>
    <d v="2010-08-10T00:00:00"/>
    <x v="0"/>
    <x v="3"/>
    <x v="2"/>
    <n v="70"/>
    <n v="800"/>
    <n v="56000"/>
  </r>
  <r>
    <d v="2012-02-06T00:00:00"/>
    <x v="0"/>
    <x v="5"/>
    <x v="0"/>
    <n v="226"/>
    <n v="650"/>
    <n v="146900"/>
  </r>
  <r>
    <d v="2013-10-02T00:00:00"/>
    <x v="0"/>
    <x v="4"/>
    <x v="1"/>
    <n v="83"/>
    <n v="1200"/>
    <n v="99600"/>
  </r>
  <r>
    <d v="2012-06-28T00:00:00"/>
    <x v="0"/>
    <x v="5"/>
    <x v="3"/>
    <n v="70"/>
    <n v="820"/>
    <n v="57400"/>
  </r>
  <r>
    <d v="2014-02-02T00:00:00"/>
    <x v="0"/>
    <x v="1"/>
    <x v="1"/>
    <n v="15"/>
    <n v="1200"/>
    <n v="18000"/>
  </r>
  <r>
    <d v="2013-10-22T00:00:00"/>
    <x v="0"/>
    <x v="1"/>
    <x v="1"/>
    <n v="89"/>
    <n v="1200"/>
    <n v="106800"/>
  </r>
  <r>
    <d v="2012-01-03T00:00:00"/>
    <x v="0"/>
    <x v="0"/>
    <x v="1"/>
    <n v="87"/>
    <n v="1200"/>
    <n v="104400"/>
  </r>
  <r>
    <d v="2013-08-23T00:00:00"/>
    <x v="0"/>
    <x v="2"/>
    <x v="3"/>
    <n v="17"/>
    <n v="820"/>
    <n v="13940"/>
  </r>
  <r>
    <d v="2012-06-06T00:00:00"/>
    <x v="0"/>
    <x v="4"/>
    <x v="0"/>
    <n v="107"/>
    <n v="650"/>
    <n v="69550"/>
  </r>
  <r>
    <d v="2014-01-07T00:00:00"/>
    <x v="0"/>
    <x v="2"/>
    <x v="2"/>
    <n v="3"/>
    <n v="800"/>
    <n v="2400"/>
  </r>
  <r>
    <d v="2011-05-12T00:00:00"/>
    <x v="0"/>
    <x v="0"/>
    <x v="3"/>
    <n v="59"/>
    <n v="820"/>
    <n v="48380"/>
  </r>
  <r>
    <d v="2013-12-26T00:00:00"/>
    <x v="0"/>
    <x v="0"/>
    <x v="1"/>
    <n v="34"/>
    <n v="1200"/>
    <n v="40800"/>
  </r>
  <r>
    <d v="2011-10-26T00:00:00"/>
    <x v="0"/>
    <x v="4"/>
    <x v="2"/>
    <n v="62"/>
    <n v="800"/>
    <n v="49600"/>
  </r>
  <r>
    <d v="2014-07-07T00:00:00"/>
    <x v="0"/>
    <x v="1"/>
    <x v="2"/>
    <n v="55"/>
    <n v="800"/>
    <n v="44000"/>
  </r>
  <r>
    <d v="2012-08-23T00:00:00"/>
    <x v="0"/>
    <x v="4"/>
    <x v="3"/>
    <n v="44"/>
    <n v="820"/>
    <n v="36080"/>
  </r>
  <r>
    <d v="2011-12-09T00:00:00"/>
    <x v="0"/>
    <x v="1"/>
    <x v="3"/>
    <n v="7"/>
    <n v="820"/>
    <n v="5740"/>
  </r>
  <r>
    <d v="2013-10-10T00:00:00"/>
    <x v="0"/>
    <x v="5"/>
    <x v="1"/>
    <n v="187"/>
    <n v="1200"/>
    <n v="224400"/>
  </r>
  <r>
    <d v="2013-11-01T00:00:00"/>
    <x v="0"/>
    <x v="3"/>
    <x v="3"/>
    <n v="18"/>
    <n v="950"/>
    <n v="17100"/>
  </r>
  <r>
    <d v="2013-10-11T00:00:00"/>
    <x v="1"/>
    <x v="3"/>
    <x v="1"/>
    <n v="70"/>
    <n v="1200"/>
    <n v="84000"/>
  </r>
  <r>
    <d v="2010-01-22T00:00:00"/>
    <x v="1"/>
    <x v="2"/>
    <x v="1"/>
    <n v="18"/>
    <n v="1200"/>
    <n v="21600"/>
  </r>
  <r>
    <d v="2014-08-10T00:00:00"/>
    <x v="1"/>
    <x v="3"/>
    <x v="2"/>
    <n v="118"/>
    <n v="800"/>
    <n v="94400"/>
  </r>
  <r>
    <d v="2012-01-05T00:00:00"/>
    <x v="1"/>
    <x v="0"/>
    <x v="3"/>
    <n v="21"/>
    <n v="950"/>
    <n v="19950"/>
  </r>
  <r>
    <d v="2012-01-18T00:00:00"/>
    <x v="1"/>
    <x v="4"/>
    <x v="3"/>
    <n v="36"/>
    <n v="950"/>
    <n v="34200"/>
  </r>
  <r>
    <d v="2014-04-25T00:00:00"/>
    <x v="1"/>
    <x v="0"/>
    <x v="4"/>
    <n v="55"/>
    <n v="450"/>
    <n v="24750"/>
  </r>
  <r>
    <d v="2011-01-18T00:00:00"/>
    <x v="1"/>
    <x v="0"/>
    <x v="0"/>
    <n v="83"/>
    <n v="650"/>
    <n v="53950"/>
  </r>
  <r>
    <d v="2010-06-25T00:00:00"/>
    <x v="1"/>
    <x v="4"/>
    <x v="4"/>
    <n v="28"/>
    <n v="450"/>
    <n v="12600"/>
  </r>
  <r>
    <d v="2014-05-30T00:00:00"/>
    <x v="1"/>
    <x v="4"/>
    <x v="3"/>
    <n v="233"/>
    <n v="950"/>
    <n v="221350"/>
  </r>
  <r>
    <d v="2013-10-09T00:00:00"/>
    <x v="1"/>
    <x v="1"/>
    <x v="3"/>
    <n v="26"/>
    <n v="820"/>
    <n v="21320"/>
  </r>
  <r>
    <d v="2013-08-26T00:00:00"/>
    <x v="1"/>
    <x v="3"/>
    <x v="0"/>
    <n v="44"/>
    <n v="650"/>
    <n v="28600"/>
  </r>
  <r>
    <d v="2011-09-19T00:00:00"/>
    <x v="1"/>
    <x v="3"/>
    <x v="1"/>
    <n v="48"/>
    <n v="1200"/>
    <n v="57600"/>
  </r>
  <r>
    <d v="2010-03-07T00:00:00"/>
    <x v="1"/>
    <x v="2"/>
    <x v="3"/>
    <n v="6"/>
    <n v="820"/>
    <n v="4920"/>
  </r>
  <r>
    <d v="2010-02-21T00:00:00"/>
    <x v="1"/>
    <x v="1"/>
    <x v="1"/>
    <n v="70"/>
    <n v="1200"/>
    <n v="84000"/>
  </r>
  <r>
    <d v="2013-05-20T00:00:00"/>
    <x v="1"/>
    <x v="5"/>
    <x v="3"/>
    <n v="25"/>
    <n v="820"/>
    <n v="20500"/>
  </r>
  <r>
    <d v="2010-08-31T00:00:00"/>
    <x v="1"/>
    <x v="0"/>
    <x v="2"/>
    <n v="107"/>
    <n v="800"/>
    <n v="85600"/>
  </r>
  <r>
    <d v="2010-12-01T00:00:00"/>
    <x v="1"/>
    <x v="0"/>
    <x v="3"/>
    <n v="10"/>
    <n v="820"/>
    <n v="8200"/>
  </r>
  <r>
    <d v="2010-07-21T00:00:00"/>
    <x v="1"/>
    <x v="4"/>
    <x v="4"/>
    <n v="23"/>
    <n v="450"/>
    <n v="10350"/>
  </r>
  <r>
    <d v="2013-04-19T00:00:00"/>
    <x v="1"/>
    <x v="0"/>
    <x v="3"/>
    <n v="75"/>
    <n v="820"/>
    <n v="61500"/>
  </r>
  <r>
    <d v="2011-08-02T00:00:00"/>
    <x v="1"/>
    <x v="5"/>
    <x v="2"/>
    <n v="208"/>
    <n v="800"/>
    <n v="166400"/>
  </r>
  <r>
    <d v="2010-09-20T00:00:00"/>
    <x v="1"/>
    <x v="4"/>
    <x v="1"/>
    <n v="161"/>
    <n v="1200"/>
    <n v="193200"/>
  </r>
  <r>
    <d v="2012-08-21T00:00:00"/>
    <x v="1"/>
    <x v="4"/>
    <x v="2"/>
    <n v="91"/>
    <n v="800"/>
    <n v="72800"/>
  </r>
  <r>
    <d v="2010-09-11T00:00:00"/>
    <x v="1"/>
    <x v="0"/>
    <x v="2"/>
    <n v="7"/>
    <n v="800"/>
    <n v="5600"/>
  </r>
  <r>
    <d v="2013-05-09T00:00:00"/>
    <x v="1"/>
    <x v="4"/>
    <x v="3"/>
    <n v="22"/>
    <n v="820"/>
    <n v="18040"/>
  </r>
  <r>
    <d v="2014-03-13T00:00:00"/>
    <x v="1"/>
    <x v="3"/>
    <x v="0"/>
    <n v="36"/>
    <n v="650"/>
    <n v="23400"/>
  </r>
  <r>
    <d v="2010-03-16T00:00:00"/>
    <x v="1"/>
    <x v="5"/>
    <x v="2"/>
    <n v="112"/>
    <n v="800"/>
    <n v="89600"/>
  </r>
  <r>
    <d v="2012-03-27T00:00:00"/>
    <x v="1"/>
    <x v="2"/>
    <x v="3"/>
    <n v="15"/>
    <n v="820"/>
    <n v="12300"/>
  </r>
  <r>
    <d v="2012-06-13T00:00:00"/>
    <x v="1"/>
    <x v="5"/>
    <x v="3"/>
    <n v="65"/>
    <n v="820"/>
    <n v="53300"/>
  </r>
  <r>
    <d v="2013-12-18T00:00:00"/>
    <x v="1"/>
    <x v="4"/>
    <x v="2"/>
    <n v="87"/>
    <n v="800"/>
    <n v="69600"/>
  </r>
  <r>
    <d v="2012-01-01T00:00:00"/>
    <x v="1"/>
    <x v="5"/>
    <x v="2"/>
    <n v="1"/>
    <n v="800"/>
    <n v="800"/>
  </r>
  <r>
    <d v="2010-03-04T00:00:00"/>
    <x v="1"/>
    <x v="3"/>
    <x v="2"/>
    <n v="57"/>
    <n v="800"/>
    <n v="45600"/>
  </r>
  <r>
    <d v="2010-05-13T00:00:00"/>
    <x v="1"/>
    <x v="1"/>
    <x v="1"/>
    <n v="22"/>
    <n v="1200"/>
    <n v="26400"/>
  </r>
  <r>
    <d v="2010-02-07T00:00:00"/>
    <x v="1"/>
    <x v="1"/>
    <x v="0"/>
    <n v="48"/>
    <n v="650"/>
    <n v="31200"/>
  </r>
  <r>
    <d v="2014-11-17T00:00:00"/>
    <x v="1"/>
    <x v="0"/>
    <x v="2"/>
    <n v="15"/>
    <n v="800"/>
    <n v="12000"/>
  </r>
  <r>
    <d v="2014-12-03T00:00:00"/>
    <x v="1"/>
    <x v="2"/>
    <x v="0"/>
    <n v="1"/>
    <n v="650"/>
    <n v="650"/>
  </r>
  <r>
    <d v="2013-10-01T00:00:00"/>
    <x v="1"/>
    <x v="4"/>
    <x v="3"/>
    <n v="56"/>
    <n v="820"/>
    <n v="45920"/>
  </r>
  <r>
    <d v="2012-02-24T00:00:00"/>
    <x v="1"/>
    <x v="0"/>
    <x v="3"/>
    <n v="6"/>
    <n v="820"/>
    <n v="4920"/>
  </r>
  <r>
    <d v="2011-04-18T00:00:00"/>
    <x v="1"/>
    <x v="0"/>
    <x v="3"/>
    <n v="114"/>
    <n v="820"/>
    <n v="93480"/>
  </r>
  <r>
    <d v="2011-07-23T00:00:00"/>
    <x v="1"/>
    <x v="1"/>
    <x v="3"/>
    <n v="16"/>
    <n v="950"/>
    <n v="15200"/>
  </r>
  <r>
    <d v="2014-07-24T00:00:00"/>
    <x v="1"/>
    <x v="0"/>
    <x v="3"/>
    <n v="59"/>
    <n v="950"/>
    <n v="56050"/>
  </r>
  <r>
    <d v="2012-02-17T00:00:00"/>
    <x v="1"/>
    <x v="4"/>
    <x v="0"/>
    <n v="9"/>
    <n v="650"/>
    <n v="5850"/>
  </r>
  <r>
    <d v="2011-10-01T00:00:00"/>
    <x v="1"/>
    <x v="3"/>
    <x v="3"/>
    <n v="105"/>
    <n v="820"/>
    <n v="86100"/>
  </r>
  <r>
    <d v="2010-04-04T00:00:00"/>
    <x v="1"/>
    <x v="1"/>
    <x v="0"/>
    <n v="6"/>
    <n v="650"/>
    <n v="3900"/>
  </r>
  <r>
    <d v="2014-06-04T00:00:00"/>
    <x v="1"/>
    <x v="3"/>
    <x v="4"/>
    <n v="47"/>
    <n v="450"/>
    <n v="21150"/>
  </r>
  <r>
    <d v="2013-09-04T00:00:00"/>
    <x v="1"/>
    <x v="2"/>
    <x v="1"/>
    <n v="16"/>
    <n v="1200"/>
    <n v="19200"/>
  </r>
  <r>
    <d v="2012-07-01T00:00:00"/>
    <x v="1"/>
    <x v="2"/>
    <x v="0"/>
    <n v="19"/>
    <n v="650"/>
    <n v="12350"/>
  </r>
  <r>
    <d v="2010-07-31T00:00:00"/>
    <x v="1"/>
    <x v="2"/>
    <x v="1"/>
    <n v="16"/>
    <n v="1200"/>
    <n v="19200"/>
  </r>
  <r>
    <d v="2011-12-20T00:00:00"/>
    <x v="1"/>
    <x v="4"/>
    <x v="2"/>
    <n v="59"/>
    <n v="800"/>
    <n v="47200"/>
  </r>
  <r>
    <d v="2013-10-17T00:00:00"/>
    <x v="1"/>
    <x v="4"/>
    <x v="2"/>
    <n v="12"/>
    <n v="800"/>
    <n v="9600"/>
  </r>
  <r>
    <d v="2013-01-10T00:00:00"/>
    <x v="1"/>
    <x v="0"/>
    <x v="3"/>
    <n v="50"/>
    <n v="950"/>
    <n v="47500"/>
  </r>
  <r>
    <d v="2013-03-13T00:00:00"/>
    <x v="1"/>
    <x v="2"/>
    <x v="3"/>
    <n v="15"/>
    <n v="820"/>
    <n v="12300"/>
  </r>
  <r>
    <d v="2013-10-20T00:00:00"/>
    <x v="1"/>
    <x v="2"/>
    <x v="1"/>
    <n v="11"/>
    <n v="1200"/>
    <n v="13200"/>
  </r>
  <r>
    <d v="2013-03-12T00:00:00"/>
    <x v="1"/>
    <x v="0"/>
    <x v="2"/>
    <n v="24"/>
    <n v="800"/>
    <n v="19200"/>
  </r>
  <r>
    <d v="2010-04-14T00:00:00"/>
    <x v="1"/>
    <x v="1"/>
    <x v="0"/>
    <n v="9"/>
    <n v="650"/>
    <n v="5850"/>
  </r>
  <r>
    <d v="2012-10-10T00:00:00"/>
    <x v="1"/>
    <x v="1"/>
    <x v="2"/>
    <n v="7"/>
    <n v="800"/>
    <n v="5600"/>
  </r>
  <r>
    <d v="2013-12-18T00:00:00"/>
    <x v="1"/>
    <x v="1"/>
    <x v="3"/>
    <n v="31"/>
    <n v="950"/>
    <n v="29450"/>
  </r>
  <r>
    <d v="2014-06-01T00:00:00"/>
    <x v="1"/>
    <x v="2"/>
    <x v="4"/>
    <n v="29"/>
    <n v="450"/>
    <n v="13050"/>
  </r>
  <r>
    <d v="2012-06-30T00:00:00"/>
    <x v="2"/>
    <x v="5"/>
    <x v="3"/>
    <n v="36"/>
    <n v="820"/>
    <n v="29520"/>
  </r>
  <r>
    <d v="2012-02-12T00:00:00"/>
    <x v="2"/>
    <x v="3"/>
    <x v="0"/>
    <n v="16"/>
    <n v="650"/>
    <n v="10400"/>
  </r>
  <r>
    <d v="2011-04-25T00:00:00"/>
    <x v="2"/>
    <x v="0"/>
    <x v="1"/>
    <n v="56"/>
    <n v="1200"/>
    <n v="67200"/>
  </r>
  <r>
    <d v="2011-06-14T00:00:00"/>
    <x v="2"/>
    <x v="4"/>
    <x v="1"/>
    <n v="172"/>
    <n v="1200"/>
    <n v="206400"/>
  </r>
  <r>
    <d v="2011-06-25T00:00:00"/>
    <x v="2"/>
    <x v="1"/>
    <x v="1"/>
    <n v="5"/>
    <n v="1200"/>
    <n v="6000"/>
  </r>
  <r>
    <d v="2012-01-22T00:00:00"/>
    <x v="2"/>
    <x v="2"/>
    <x v="3"/>
    <n v="42"/>
    <n v="820"/>
    <n v="34440"/>
  </r>
  <r>
    <d v="2013-07-31T00:00:00"/>
    <x v="2"/>
    <x v="4"/>
    <x v="3"/>
    <n v="52"/>
    <n v="820"/>
    <n v="42640"/>
  </r>
  <r>
    <d v="2014-04-18T00:00:00"/>
    <x v="2"/>
    <x v="1"/>
    <x v="0"/>
    <n v="22"/>
    <n v="650"/>
    <n v="14300"/>
  </r>
  <r>
    <d v="2012-04-11T00:00:00"/>
    <x v="2"/>
    <x v="1"/>
    <x v="0"/>
    <n v="21"/>
    <n v="650"/>
    <n v="13650"/>
  </r>
  <r>
    <d v="2013-11-03T00:00:00"/>
    <x v="2"/>
    <x v="5"/>
    <x v="3"/>
    <n v="37"/>
    <n v="820"/>
    <n v="30340"/>
  </r>
  <r>
    <d v="2012-03-23T00:00:00"/>
    <x v="2"/>
    <x v="3"/>
    <x v="2"/>
    <n v="34"/>
    <n v="800"/>
    <n v="27200"/>
  </r>
  <r>
    <d v="2013-02-03T00:00:00"/>
    <x v="2"/>
    <x v="3"/>
    <x v="3"/>
    <n v="32"/>
    <n v="820"/>
    <n v="26240"/>
  </r>
  <r>
    <d v="2011-06-07T00:00:00"/>
    <x v="2"/>
    <x v="5"/>
    <x v="0"/>
    <n v="88"/>
    <n v="650"/>
    <n v="57200"/>
  </r>
  <r>
    <d v="2010-06-28T00:00:00"/>
    <x v="2"/>
    <x v="5"/>
    <x v="3"/>
    <n v="20"/>
    <n v="950"/>
    <n v="19000"/>
  </r>
  <r>
    <d v="2013-09-21T00:00:00"/>
    <x v="2"/>
    <x v="4"/>
    <x v="4"/>
    <n v="29"/>
    <n v="450"/>
    <n v="13050"/>
  </r>
  <r>
    <d v="2014-09-24T00:00:00"/>
    <x v="2"/>
    <x v="4"/>
    <x v="2"/>
    <n v="128"/>
    <n v="800"/>
    <n v="102400"/>
  </r>
  <r>
    <d v="2012-09-23T00:00:00"/>
    <x v="2"/>
    <x v="0"/>
    <x v="3"/>
    <n v="86"/>
    <n v="950"/>
    <n v="81700"/>
  </r>
  <r>
    <d v="2011-03-31T00:00:00"/>
    <x v="2"/>
    <x v="1"/>
    <x v="2"/>
    <n v="19"/>
    <n v="800"/>
    <n v="15200"/>
  </r>
  <r>
    <d v="2010-02-04T00:00:00"/>
    <x v="2"/>
    <x v="0"/>
    <x v="2"/>
    <n v="77"/>
    <n v="800"/>
    <n v="61600"/>
  </r>
  <r>
    <d v="2014-10-09T00:00:00"/>
    <x v="2"/>
    <x v="4"/>
    <x v="0"/>
    <n v="58"/>
    <n v="650"/>
    <n v="37700"/>
  </r>
  <r>
    <d v="2012-09-14T00:00:00"/>
    <x v="2"/>
    <x v="2"/>
    <x v="4"/>
    <n v="11"/>
    <n v="450"/>
    <n v="4950"/>
  </r>
  <r>
    <d v="2012-12-16T00:00:00"/>
    <x v="2"/>
    <x v="0"/>
    <x v="3"/>
    <n v="19"/>
    <n v="950"/>
    <n v="18050"/>
  </r>
  <r>
    <d v="2014-05-20T00:00:00"/>
    <x v="2"/>
    <x v="3"/>
    <x v="3"/>
    <n v="46"/>
    <n v="950"/>
    <n v="43700"/>
  </r>
  <r>
    <d v="2013-02-08T00:00:00"/>
    <x v="2"/>
    <x v="0"/>
    <x v="3"/>
    <n v="108"/>
    <n v="950"/>
    <n v="102600"/>
  </r>
  <r>
    <d v="2010-10-04T00:00:00"/>
    <x v="2"/>
    <x v="2"/>
    <x v="3"/>
    <n v="14"/>
    <n v="820"/>
    <n v="11480"/>
  </r>
  <r>
    <d v="2014-09-12T00:00:00"/>
    <x v="2"/>
    <x v="0"/>
    <x v="3"/>
    <n v="9"/>
    <n v="950"/>
    <n v="8550"/>
  </r>
  <r>
    <d v="2011-05-10T00:00:00"/>
    <x v="2"/>
    <x v="2"/>
    <x v="4"/>
    <n v="1"/>
    <n v="450"/>
    <n v="450"/>
  </r>
  <r>
    <d v="2010-04-12T00:00:00"/>
    <x v="2"/>
    <x v="3"/>
    <x v="0"/>
    <n v="132"/>
    <n v="650"/>
    <n v="85800"/>
  </r>
  <r>
    <d v="2014-06-27T00:00:00"/>
    <x v="2"/>
    <x v="4"/>
    <x v="0"/>
    <n v="10"/>
    <n v="650"/>
    <n v="6500"/>
  </r>
  <r>
    <d v="2012-02-21T00:00:00"/>
    <x v="2"/>
    <x v="3"/>
    <x v="3"/>
    <n v="16"/>
    <n v="820"/>
    <n v="13120"/>
  </r>
  <r>
    <d v="2014-09-23T00:00:00"/>
    <x v="2"/>
    <x v="5"/>
    <x v="3"/>
    <n v="194"/>
    <n v="820"/>
    <n v="159080"/>
  </r>
  <r>
    <d v="2014-06-29T00:00:00"/>
    <x v="2"/>
    <x v="0"/>
    <x v="2"/>
    <n v="104"/>
    <n v="800"/>
    <n v="83200"/>
  </r>
  <r>
    <d v="2011-02-02T00:00:00"/>
    <x v="2"/>
    <x v="4"/>
    <x v="2"/>
    <n v="135"/>
    <n v="800"/>
    <n v="108000"/>
  </r>
  <r>
    <d v="2013-11-13T00:00:00"/>
    <x v="2"/>
    <x v="2"/>
    <x v="1"/>
    <n v="32"/>
    <n v="1200"/>
    <n v="38400"/>
  </r>
  <r>
    <d v="2014-07-02T00:00:00"/>
    <x v="2"/>
    <x v="2"/>
    <x v="2"/>
    <n v="2"/>
    <n v="800"/>
    <n v="1600"/>
  </r>
  <r>
    <d v="2011-06-28T00:00:00"/>
    <x v="2"/>
    <x v="5"/>
    <x v="4"/>
    <n v="44"/>
    <n v="450"/>
    <n v="19800"/>
  </r>
  <r>
    <d v="2013-11-23T00:00:00"/>
    <x v="2"/>
    <x v="4"/>
    <x v="2"/>
    <n v="82"/>
    <n v="800"/>
    <n v="65600"/>
  </r>
  <r>
    <d v="2010-09-09T00:00:00"/>
    <x v="2"/>
    <x v="1"/>
    <x v="0"/>
    <n v="90"/>
    <n v="650"/>
    <n v="58500"/>
  </r>
  <r>
    <d v="2013-07-17T00:00:00"/>
    <x v="2"/>
    <x v="0"/>
    <x v="3"/>
    <n v="115"/>
    <n v="820"/>
    <n v="94300"/>
  </r>
  <r>
    <d v="2012-01-31T00:00:00"/>
    <x v="2"/>
    <x v="0"/>
    <x v="3"/>
    <n v="31"/>
    <n v="820"/>
    <n v="25420"/>
  </r>
  <r>
    <d v="2010-09-08T00:00:00"/>
    <x v="2"/>
    <x v="1"/>
    <x v="2"/>
    <n v="18"/>
    <n v="800"/>
    <n v="14400"/>
  </r>
  <r>
    <d v="2013-03-27T00:00:00"/>
    <x v="2"/>
    <x v="4"/>
    <x v="2"/>
    <n v="156"/>
    <n v="800"/>
    <n v="124800"/>
  </r>
  <r>
    <d v="2014-03-12T00:00:00"/>
    <x v="2"/>
    <x v="5"/>
    <x v="2"/>
    <n v="70"/>
    <n v="800"/>
    <n v="56000"/>
  </r>
  <r>
    <d v="2014-11-14T00:00:00"/>
    <x v="2"/>
    <x v="1"/>
    <x v="1"/>
    <n v="22"/>
    <n v="1200"/>
    <n v="26400"/>
  </r>
  <r>
    <d v="2011-09-27T00:00:00"/>
    <x v="2"/>
    <x v="2"/>
    <x v="0"/>
    <n v="27"/>
    <n v="650"/>
    <n v="17550"/>
  </r>
  <r>
    <d v="2014-01-23T00:00:00"/>
    <x v="2"/>
    <x v="5"/>
    <x v="2"/>
    <n v="42"/>
    <n v="800"/>
    <n v="33600"/>
  </r>
  <r>
    <d v="2010-10-25T00:00:00"/>
    <x v="2"/>
    <x v="3"/>
    <x v="2"/>
    <n v="38"/>
    <n v="800"/>
    <n v="30400"/>
  </r>
  <r>
    <d v="2013-08-14T00:00:00"/>
    <x v="2"/>
    <x v="4"/>
    <x v="3"/>
    <n v="34"/>
    <n v="820"/>
    <n v="27880"/>
  </r>
  <r>
    <d v="2013-08-21T00:00:00"/>
    <x v="2"/>
    <x v="0"/>
    <x v="2"/>
    <n v="89"/>
    <n v="800"/>
    <n v="71200"/>
  </r>
  <r>
    <d v="2011-02-24T00:00:00"/>
    <x v="2"/>
    <x v="1"/>
    <x v="1"/>
    <n v="66"/>
    <n v="1200"/>
    <n v="79200"/>
  </r>
  <r>
    <d v="2010-04-02T00:00:00"/>
    <x v="2"/>
    <x v="4"/>
    <x v="3"/>
    <n v="30"/>
    <n v="820"/>
    <n v="24600"/>
  </r>
  <r>
    <d v="2011-05-02T00:00:00"/>
    <x v="2"/>
    <x v="4"/>
    <x v="1"/>
    <n v="128"/>
    <n v="1200"/>
    <n v="153600"/>
  </r>
  <r>
    <d v="2014-10-06T00:00:00"/>
    <x v="2"/>
    <x v="2"/>
    <x v="2"/>
    <n v="13"/>
    <n v="800"/>
    <n v="10400"/>
  </r>
  <r>
    <d v="2014-06-27T00:00:00"/>
    <x v="2"/>
    <x v="1"/>
    <x v="2"/>
    <n v="64"/>
    <n v="800"/>
    <n v="51200"/>
  </r>
  <r>
    <d v="2012-03-04T00:00:00"/>
    <x v="3"/>
    <x v="5"/>
    <x v="3"/>
    <n v="49"/>
    <n v="820"/>
    <n v="40180"/>
  </r>
  <r>
    <d v="2011-10-02T00:00:00"/>
    <x v="3"/>
    <x v="3"/>
    <x v="0"/>
    <n v="76"/>
    <n v="650"/>
    <n v="49400"/>
  </r>
  <r>
    <d v="2012-01-04T00:00:00"/>
    <x v="3"/>
    <x v="3"/>
    <x v="3"/>
    <n v="36"/>
    <n v="820"/>
    <n v="29520"/>
  </r>
  <r>
    <d v="2013-09-27T00:00:00"/>
    <x v="3"/>
    <x v="3"/>
    <x v="2"/>
    <n v="126"/>
    <n v="800"/>
    <n v="100800"/>
  </r>
  <r>
    <d v="2012-09-23T00:00:00"/>
    <x v="3"/>
    <x v="0"/>
    <x v="0"/>
    <n v="29"/>
    <n v="650"/>
    <n v="18850"/>
  </r>
  <r>
    <d v="2010-08-10T00:00:00"/>
    <x v="3"/>
    <x v="2"/>
    <x v="1"/>
    <n v="6"/>
    <n v="1200"/>
    <n v="7200"/>
  </r>
  <r>
    <d v="2014-10-08T00:00:00"/>
    <x v="3"/>
    <x v="2"/>
    <x v="3"/>
    <n v="38"/>
    <n v="950"/>
    <n v="36100"/>
  </r>
  <r>
    <d v="2011-07-31T00:00:00"/>
    <x v="3"/>
    <x v="5"/>
    <x v="0"/>
    <n v="6"/>
    <n v="650"/>
    <n v="3900"/>
  </r>
  <r>
    <d v="2014-05-17T00:00:00"/>
    <x v="3"/>
    <x v="5"/>
    <x v="3"/>
    <n v="119"/>
    <n v="950"/>
    <n v="113050"/>
  </r>
  <r>
    <d v="2014-09-26T00:00:00"/>
    <x v="3"/>
    <x v="0"/>
    <x v="3"/>
    <n v="30"/>
    <n v="820"/>
    <n v="24600"/>
  </r>
  <r>
    <d v="2014-02-24T00:00:00"/>
    <x v="3"/>
    <x v="5"/>
    <x v="1"/>
    <n v="8"/>
    <n v="1200"/>
    <n v="9600"/>
  </r>
  <r>
    <d v="2012-10-22T00:00:00"/>
    <x v="3"/>
    <x v="2"/>
    <x v="2"/>
    <n v="6"/>
    <n v="800"/>
    <n v="4800"/>
  </r>
  <r>
    <d v="2011-05-09T00:00:00"/>
    <x v="3"/>
    <x v="1"/>
    <x v="2"/>
    <n v="21"/>
    <n v="800"/>
    <n v="16800"/>
  </r>
  <r>
    <d v="2013-05-10T00:00:00"/>
    <x v="3"/>
    <x v="0"/>
    <x v="2"/>
    <n v="85"/>
    <n v="800"/>
    <n v="68000"/>
  </r>
  <r>
    <d v="2014-03-08T00:00:00"/>
    <x v="3"/>
    <x v="2"/>
    <x v="2"/>
    <n v="20"/>
    <n v="800"/>
    <n v="16000"/>
  </r>
  <r>
    <d v="2013-10-28T00:00:00"/>
    <x v="3"/>
    <x v="1"/>
    <x v="2"/>
    <n v="7"/>
    <n v="800"/>
    <n v="5600"/>
  </r>
  <r>
    <d v="2014-09-03T00:00:00"/>
    <x v="3"/>
    <x v="3"/>
    <x v="2"/>
    <n v="78"/>
    <n v="800"/>
    <n v="62400"/>
  </r>
  <r>
    <d v="2012-08-14T00:00:00"/>
    <x v="3"/>
    <x v="1"/>
    <x v="1"/>
    <n v="17"/>
    <n v="1200"/>
    <n v="20400"/>
  </r>
  <r>
    <d v="2013-08-08T00:00:00"/>
    <x v="3"/>
    <x v="5"/>
    <x v="3"/>
    <n v="13"/>
    <n v="820"/>
    <n v="10660"/>
  </r>
  <r>
    <d v="2010-06-23T00:00:00"/>
    <x v="3"/>
    <x v="2"/>
    <x v="2"/>
    <n v="9"/>
    <n v="800"/>
    <n v="7200"/>
  </r>
  <r>
    <d v="2013-03-30T00:00:00"/>
    <x v="3"/>
    <x v="3"/>
    <x v="3"/>
    <n v="33"/>
    <n v="820"/>
    <n v="27060"/>
  </r>
  <r>
    <d v="2014-07-02T00:00:00"/>
    <x v="3"/>
    <x v="1"/>
    <x v="3"/>
    <n v="15"/>
    <n v="820"/>
    <n v="12300"/>
  </r>
  <r>
    <d v="2014-04-29T00:00:00"/>
    <x v="3"/>
    <x v="0"/>
    <x v="0"/>
    <n v="36"/>
    <n v="650"/>
    <n v="23400"/>
  </r>
  <r>
    <d v="2013-01-02T00:00:00"/>
    <x v="3"/>
    <x v="0"/>
    <x v="0"/>
    <n v="22"/>
    <n v="650"/>
    <n v="14300"/>
  </r>
  <r>
    <d v="2011-04-04T00:00:00"/>
    <x v="3"/>
    <x v="0"/>
    <x v="1"/>
    <n v="12"/>
    <n v="1200"/>
    <n v="14400"/>
  </r>
  <r>
    <d v="2010-10-17T00:00:00"/>
    <x v="3"/>
    <x v="2"/>
    <x v="4"/>
    <n v="29"/>
    <n v="450"/>
    <n v="13050"/>
  </r>
  <r>
    <d v="2012-12-06T00:00:00"/>
    <x v="3"/>
    <x v="3"/>
    <x v="1"/>
    <n v="23"/>
    <n v="1200"/>
    <n v="27600"/>
  </r>
  <r>
    <d v="2010-03-21T00:00:00"/>
    <x v="3"/>
    <x v="1"/>
    <x v="1"/>
    <n v="17"/>
    <n v="1200"/>
    <n v="20400"/>
  </r>
  <r>
    <d v="2010-07-14T00:00:00"/>
    <x v="3"/>
    <x v="4"/>
    <x v="2"/>
    <n v="45"/>
    <n v="800"/>
    <n v="36000"/>
  </r>
  <r>
    <d v="2011-07-02T00:00:00"/>
    <x v="3"/>
    <x v="4"/>
    <x v="0"/>
    <n v="274"/>
    <n v="650"/>
    <n v="178100"/>
  </r>
  <r>
    <d v="2012-09-12T00:00:00"/>
    <x v="3"/>
    <x v="1"/>
    <x v="3"/>
    <n v="60"/>
    <n v="820"/>
    <n v="49200"/>
  </r>
  <r>
    <d v="2011-12-02T00:00:00"/>
    <x v="3"/>
    <x v="4"/>
    <x v="0"/>
    <n v="39"/>
    <n v="650"/>
    <n v="25350"/>
  </r>
  <r>
    <d v="2013-11-13T00:00:00"/>
    <x v="3"/>
    <x v="4"/>
    <x v="3"/>
    <n v="58"/>
    <n v="820"/>
    <n v="47560"/>
  </r>
  <r>
    <d v="2013-03-05T00:00:00"/>
    <x v="3"/>
    <x v="3"/>
    <x v="2"/>
    <n v="60"/>
    <n v="800"/>
    <n v="48000"/>
  </r>
  <r>
    <d v="2013-04-13T00:00:00"/>
    <x v="3"/>
    <x v="0"/>
    <x v="1"/>
    <n v="92"/>
    <n v="1200"/>
    <n v="110400"/>
  </r>
  <r>
    <d v="2011-01-08T00:00:00"/>
    <x v="3"/>
    <x v="3"/>
    <x v="1"/>
    <n v="153"/>
    <n v="1200"/>
    <n v="183600"/>
  </r>
  <r>
    <d v="2010-06-27T00:00:00"/>
    <x v="3"/>
    <x v="0"/>
    <x v="1"/>
    <n v="86"/>
    <n v="1200"/>
    <n v="103200"/>
  </r>
  <r>
    <d v="2014-05-10T00:00:00"/>
    <x v="3"/>
    <x v="5"/>
    <x v="3"/>
    <n v="181"/>
    <n v="820"/>
    <n v="148420"/>
  </r>
  <r>
    <d v="2013-12-05T00:00:00"/>
    <x v="3"/>
    <x v="4"/>
    <x v="1"/>
    <n v="18"/>
    <n v="1200"/>
    <n v="21600"/>
  </r>
  <r>
    <d v="2010-07-29T00:00:00"/>
    <x v="3"/>
    <x v="4"/>
    <x v="0"/>
    <n v="57"/>
    <n v="650"/>
    <n v="37050"/>
  </r>
  <r>
    <d v="2014-05-01T00:00:00"/>
    <x v="3"/>
    <x v="1"/>
    <x v="3"/>
    <n v="31"/>
    <n v="820"/>
    <n v="25420"/>
  </r>
  <r>
    <d v="2010-06-23T00:00:00"/>
    <x v="3"/>
    <x v="2"/>
    <x v="1"/>
    <n v="18"/>
    <n v="1200"/>
    <n v="21600"/>
  </r>
  <r>
    <d v="2012-05-09T00:00:00"/>
    <x v="3"/>
    <x v="5"/>
    <x v="4"/>
    <n v="4"/>
    <n v="450"/>
    <n v="1800"/>
  </r>
  <r>
    <d v="2013-04-10T00:00:00"/>
    <x v="3"/>
    <x v="1"/>
    <x v="2"/>
    <n v="6"/>
    <n v="800"/>
    <n v="4800"/>
  </r>
  <r>
    <d v="2012-03-28T00:00:00"/>
    <x v="3"/>
    <x v="1"/>
    <x v="1"/>
    <n v="28"/>
    <n v="1200"/>
    <n v="33600"/>
  </r>
  <r>
    <d v="2010-07-15T00:00:00"/>
    <x v="3"/>
    <x v="3"/>
    <x v="2"/>
    <n v="1"/>
    <n v="800"/>
    <n v="800"/>
  </r>
  <r>
    <d v="2011-10-05T00:00:00"/>
    <x v="3"/>
    <x v="0"/>
    <x v="4"/>
    <n v="37"/>
    <n v="450"/>
    <n v="16650"/>
  </r>
  <r>
    <d v="2013-02-06T00:00:00"/>
    <x v="3"/>
    <x v="3"/>
    <x v="4"/>
    <n v="25"/>
    <n v="450"/>
    <n v="11250"/>
  </r>
  <r>
    <d v="2013-02-27T00:00:00"/>
    <x v="3"/>
    <x v="2"/>
    <x v="4"/>
    <n v="8"/>
    <n v="450"/>
    <n v="3600"/>
  </r>
  <r>
    <d v="2012-11-11T00:00:00"/>
    <x v="3"/>
    <x v="0"/>
    <x v="2"/>
    <n v="55"/>
    <n v="800"/>
    <n v="44000"/>
  </r>
  <r>
    <d v="2010-05-31T00:00:00"/>
    <x v="3"/>
    <x v="0"/>
    <x v="1"/>
    <n v="55"/>
    <n v="1200"/>
    <n v="66000"/>
  </r>
  <r>
    <d v="2012-12-26T00:00:00"/>
    <x v="3"/>
    <x v="1"/>
    <x v="0"/>
    <n v="3"/>
    <n v="650"/>
    <n v="1950"/>
  </r>
  <r>
    <d v="2012-09-07T00:00:00"/>
    <x v="3"/>
    <x v="0"/>
    <x v="3"/>
    <n v="22"/>
    <n v="820"/>
    <n v="18040"/>
  </r>
  <r>
    <d v="2011-09-13T00:00:00"/>
    <x v="3"/>
    <x v="5"/>
    <x v="2"/>
    <n v="49"/>
    <n v="800"/>
    <n v="39200"/>
  </r>
  <r>
    <d v="2014-08-13T00:00:00"/>
    <x v="3"/>
    <x v="1"/>
    <x v="3"/>
    <n v="71"/>
    <n v="820"/>
    <n v="58220"/>
  </r>
  <r>
    <d v="2011-06-23T00:00:00"/>
    <x v="3"/>
    <x v="5"/>
    <x v="2"/>
    <n v="49"/>
    <n v="800"/>
    <n v="39200"/>
  </r>
  <r>
    <d v="2012-05-30T00:00:00"/>
    <x v="3"/>
    <x v="2"/>
    <x v="3"/>
    <n v="3"/>
    <n v="820"/>
    <n v="2460"/>
  </r>
  <r>
    <d v="2011-04-19T00:00:00"/>
    <x v="3"/>
    <x v="4"/>
    <x v="2"/>
    <n v="16"/>
    <n v="800"/>
    <n v="12800"/>
  </r>
  <r>
    <d v="2012-03-04T00:00:00"/>
    <x v="3"/>
    <x v="3"/>
    <x v="4"/>
    <n v="67"/>
    <n v="450"/>
    <n v="30150"/>
  </r>
  <r>
    <d v="2013-07-01T00:00:00"/>
    <x v="3"/>
    <x v="0"/>
    <x v="1"/>
    <n v="19"/>
    <n v="1200"/>
    <n v="22800"/>
  </r>
  <r>
    <d v="2011-08-24T00:00:00"/>
    <x v="3"/>
    <x v="2"/>
    <x v="2"/>
    <n v="1"/>
    <n v="800"/>
    <n v="800"/>
  </r>
  <r>
    <d v="2012-09-18T00:00:00"/>
    <x v="3"/>
    <x v="5"/>
    <x v="3"/>
    <n v="3"/>
    <n v="950"/>
    <n v="2850"/>
  </r>
  <r>
    <d v="2012-07-03T00:00:00"/>
    <x v="3"/>
    <x v="1"/>
    <x v="3"/>
    <n v="33"/>
    <n v="820"/>
    <n v="27060"/>
  </r>
  <r>
    <d v="2011-09-30T00:00:00"/>
    <x v="3"/>
    <x v="4"/>
    <x v="1"/>
    <n v="280"/>
    <n v="1200"/>
    <n v="336000"/>
  </r>
  <r>
    <d v="2011-08-07T00:00:00"/>
    <x v="3"/>
    <x v="0"/>
    <x v="2"/>
    <n v="24"/>
    <n v="800"/>
    <n v="19200"/>
  </r>
  <r>
    <d v="2012-11-11T00:00:00"/>
    <x v="3"/>
    <x v="2"/>
    <x v="1"/>
    <n v="6"/>
    <n v="1200"/>
    <n v="7200"/>
  </r>
  <r>
    <d v="2010-04-29T00:00:00"/>
    <x v="3"/>
    <x v="2"/>
    <x v="0"/>
    <n v="7"/>
    <n v="650"/>
    <n v="4550"/>
  </r>
  <r>
    <d v="2013-07-30T00:00:00"/>
    <x v="3"/>
    <x v="1"/>
    <x v="3"/>
    <n v="38"/>
    <n v="950"/>
    <n v="36100"/>
  </r>
  <r>
    <d v="2014-05-16T00:00:00"/>
    <x v="3"/>
    <x v="3"/>
    <x v="2"/>
    <n v="23"/>
    <n v="800"/>
    <n v="18400"/>
  </r>
  <r>
    <d v="2012-12-03T00:00:00"/>
    <x v="3"/>
    <x v="4"/>
    <x v="4"/>
    <n v="26"/>
    <n v="450"/>
    <n v="11700"/>
  </r>
  <r>
    <d v="2013-07-15T00:00:00"/>
    <x v="3"/>
    <x v="1"/>
    <x v="3"/>
    <n v="11"/>
    <n v="820"/>
    <n v="9020"/>
  </r>
  <r>
    <d v="2011-04-28T00:00:00"/>
    <x v="3"/>
    <x v="5"/>
    <x v="1"/>
    <n v="23"/>
    <n v="1200"/>
    <n v="27600"/>
  </r>
  <r>
    <d v="2014-05-25T00:00:00"/>
    <x v="3"/>
    <x v="3"/>
    <x v="3"/>
    <n v="59"/>
    <n v="820"/>
    <n v="48380"/>
  </r>
  <r>
    <d v="2011-06-12T00:00:00"/>
    <x v="4"/>
    <x v="4"/>
    <x v="3"/>
    <n v="138"/>
    <n v="950"/>
    <n v="131100"/>
  </r>
  <r>
    <d v="2013-06-23T00:00:00"/>
    <x v="4"/>
    <x v="0"/>
    <x v="3"/>
    <n v="69"/>
    <n v="950"/>
    <n v="65550"/>
  </r>
  <r>
    <d v="2011-07-08T00:00:00"/>
    <x v="4"/>
    <x v="4"/>
    <x v="2"/>
    <n v="214"/>
    <n v="800"/>
    <n v="171200"/>
  </r>
  <r>
    <d v="2012-06-11T00:00:00"/>
    <x v="4"/>
    <x v="5"/>
    <x v="3"/>
    <n v="223"/>
    <n v="820"/>
    <n v="182860"/>
  </r>
  <r>
    <d v="2013-02-01T00:00:00"/>
    <x v="0"/>
    <x v="0"/>
    <x v="0"/>
    <n v="54.890596344779603"/>
    <n v="832.14538670714001"/>
    <n v="45676.95652191215"/>
  </r>
  <r>
    <d v="2010-11-16T00:00:00"/>
    <x v="0"/>
    <x v="1"/>
    <x v="1"/>
    <n v="54.931735383580197"/>
    <n v="831.99891068763395"/>
    <n v="45703.144001320084"/>
  </r>
  <r>
    <d v="2013-12-04T00:00:00"/>
    <x v="0"/>
    <x v="2"/>
    <x v="1"/>
    <n v="54.972874422380698"/>
    <n v="831.85243466812801"/>
    <n v="45729.319428962648"/>
  </r>
  <r>
    <d v="2012-02-01T00:00:00"/>
    <x v="0"/>
    <x v="3"/>
    <x v="2"/>
    <n v="55.0140134611813"/>
    <n v="831.70595864862298"/>
    <n v="45755.482804840045"/>
  </r>
  <r>
    <d v="2013-09-26T00:00:00"/>
    <x v="0"/>
    <x v="0"/>
    <x v="2"/>
    <n v="55.055152499981901"/>
    <n v="831.55948262911704"/>
    <n v="45781.634128952086"/>
  </r>
  <r>
    <d v="2011-04-12T00:00:00"/>
    <x v="0"/>
    <x v="2"/>
    <x v="2"/>
    <n v="55.096291538782403"/>
    <n v="831.41300660961201"/>
    <n v="45807.773401298808"/>
  </r>
  <r>
    <d v="2012-01-23T00:00:00"/>
    <x v="0"/>
    <x v="2"/>
    <x v="3"/>
    <n v="55.137430577582997"/>
    <n v="831.26653059010596"/>
    <n v="45833.900621880239"/>
  </r>
  <r>
    <d v="2010-09-23T00:00:00"/>
    <x v="0"/>
    <x v="2"/>
    <x v="4"/>
    <n v="55.178569616383598"/>
    <n v="831.12005457060002"/>
    <n v="45860.015790696387"/>
  </r>
  <r>
    <d v="2014-06-07T00:00:00"/>
    <x v="0"/>
    <x v="4"/>
    <x v="0"/>
    <n v="55.2197086551841"/>
    <n v="830.97357855109499"/>
    <n v="45886.118907747201"/>
  </r>
  <r>
    <d v="2014-03-03T00:00:00"/>
    <x v="0"/>
    <x v="4"/>
    <x v="2"/>
    <n v="55.260847693984701"/>
    <n v="830.82710253158905"/>
    <n v="45912.209973032754"/>
  </r>
  <r>
    <d v="2014-06-07T00:00:00"/>
    <x v="0"/>
    <x v="5"/>
    <x v="2"/>
    <n v="55.301986732785302"/>
    <n v="830.68062651208299"/>
    <n v="45938.288986552994"/>
  </r>
  <r>
    <d v="2014-05-08T00:00:00"/>
    <x v="0"/>
    <x v="4"/>
    <x v="1"/>
    <n v="55.343125771585797"/>
    <n v="830.53415049257796"/>
    <n v="45964.355948307908"/>
  </r>
  <r>
    <d v="2012-03-19T00:00:00"/>
    <x v="0"/>
    <x v="0"/>
    <x v="3"/>
    <n v="55.384264810386398"/>
    <n v="830.38767447307202"/>
    <n v="45990.41085829756"/>
  </r>
  <r>
    <d v="2012-04-30T00:00:00"/>
    <x v="0"/>
    <x v="2"/>
    <x v="3"/>
    <n v="55.425403849186999"/>
    <n v="830.24119845356597"/>
    <n v="46016.453716521901"/>
  </r>
  <r>
    <d v="2011-02-27T00:00:00"/>
    <x v="0"/>
    <x v="4"/>
    <x v="3"/>
    <n v="55.466542887987501"/>
    <n v="830.09472243406105"/>
    <n v="46042.484522980929"/>
  </r>
  <r>
    <d v="2014-10-25T00:00:00"/>
    <x v="0"/>
    <x v="2"/>
    <x v="3"/>
    <n v="55.507681926788102"/>
    <n v="829.948246414555"/>
    <n v="46068.503277674674"/>
  </r>
  <r>
    <d v="2014-07-01T00:00:00"/>
    <x v="0"/>
    <x v="5"/>
    <x v="3"/>
    <n v="55.548820965588703"/>
    <n v="829.80177039504997"/>
    <n v="46094.509980603172"/>
  </r>
  <r>
    <d v="2012-09-16T00:00:00"/>
    <x v="0"/>
    <x v="2"/>
    <x v="3"/>
    <n v="55.589960004389198"/>
    <n v="829.65529437554403"/>
    <n v="46120.504631766242"/>
  </r>
  <r>
    <d v="2010-11-10T00:00:00"/>
    <x v="0"/>
    <x v="0"/>
    <x v="1"/>
    <n v="55.631099043189799"/>
    <n v="829.50881835603798"/>
    <n v="46146.487231164087"/>
  </r>
  <r>
    <d v="2011-11-20T00:00:00"/>
    <x v="0"/>
    <x v="5"/>
    <x v="3"/>
    <n v="55.6722380819904"/>
    <n v="829.36234233653295"/>
    <n v="46172.457778796692"/>
  </r>
  <r>
    <d v="2011-05-03T00:00:00"/>
    <x v="0"/>
    <x v="0"/>
    <x v="3"/>
    <n v="55.713377120790902"/>
    <n v="829.21586631702701"/>
    <n v="46198.416274663861"/>
  </r>
  <r>
    <d v="2012-07-24T00:00:00"/>
    <x v="0"/>
    <x v="3"/>
    <x v="3"/>
    <n v="55.754516159591503"/>
    <n v="829.06939029752095"/>
    <n v="46224.362718765806"/>
  </r>
  <r>
    <d v="2012-07-01T00:00:00"/>
    <x v="0"/>
    <x v="0"/>
    <x v="3"/>
    <n v="55.795655198392097"/>
    <n v="828.92291427801604"/>
    <n v="46250.297111102511"/>
  </r>
  <r>
    <d v="2011-01-07T00:00:00"/>
    <x v="0"/>
    <x v="5"/>
    <x v="2"/>
    <n v="55.836794237192599"/>
    <n v="828.77643825850998"/>
    <n v="46276.21945167378"/>
  </r>
  <r>
    <d v="2014-08-20T00:00:00"/>
    <x v="0"/>
    <x v="4"/>
    <x v="1"/>
    <n v="55.8779332759932"/>
    <n v="828.62996223900404"/>
    <n v="46302.129740479832"/>
  </r>
  <r>
    <d v="2012-03-28T00:00:00"/>
    <x v="0"/>
    <x v="1"/>
    <x v="2"/>
    <n v="55.919072314793802"/>
    <n v="828.48348621949901"/>
    <n v="46328.027977520636"/>
  </r>
  <r>
    <d v="2014-04-21T00:00:00"/>
    <x v="0"/>
    <x v="1"/>
    <x v="2"/>
    <n v="55.960211353594303"/>
    <n v="828.33701019999296"/>
    <n v="46353.914162796005"/>
  </r>
  <r>
    <d v="2014-05-27T00:00:00"/>
    <x v="0"/>
    <x v="3"/>
    <x v="3"/>
    <n v="56.001350392394897"/>
    <n v="828.19053418048702"/>
    <n v="46379.788296306157"/>
  </r>
  <r>
    <d v="2011-09-06T00:00:00"/>
    <x v="0"/>
    <x v="5"/>
    <x v="3"/>
    <n v="56.042489431195499"/>
    <n v="828.04405816098199"/>
    <n v="46405.650378051061"/>
  </r>
  <r>
    <d v="2010-09-10T00:00:00"/>
    <x v="0"/>
    <x v="5"/>
    <x v="0"/>
    <n v="56.083628469996"/>
    <n v="827.89758214147605"/>
    <n v="46431.500408030537"/>
  </r>
  <r>
    <d v="2013-05-24T00:00:00"/>
    <x v="0"/>
    <x v="5"/>
    <x v="2"/>
    <n v="56.124767508796602"/>
    <n v="827.75110612197"/>
    <n v="46457.338386244788"/>
  </r>
  <r>
    <d v="2011-05-10T00:00:00"/>
    <x v="0"/>
    <x v="0"/>
    <x v="0"/>
    <n v="56.165906547597203"/>
    <n v="827.60463010246497"/>
    <n v="46483.1643126938"/>
  </r>
  <r>
    <d v="2011-05-14T00:00:00"/>
    <x v="0"/>
    <x v="4"/>
    <x v="1"/>
    <n v="56.207045586397697"/>
    <n v="827.45815408295903"/>
    <n v="46508.978187377368"/>
  </r>
  <r>
    <d v="2012-08-18T00:00:00"/>
    <x v="0"/>
    <x v="5"/>
    <x v="2"/>
    <n v="56.248184625198299"/>
    <n v="827.311678063454"/>
    <n v="46534.780010295777"/>
  </r>
  <r>
    <d v="2011-03-27T00:00:00"/>
    <x v="0"/>
    <x v="2"/>
    <x v="2"/>
    <n v="56.2893236639989"/>
    <n v="827.16520204394806"/>
    <n v="46560.569781448838"/>
  </r>
  <r>
    <d v="2010-04-24T00:00:00"/>
    <x v="0"/>
    <x v="4"/>
    <x v="2"/>
    <n v="56.330462702799402"/>
    <n v="827.018726024442"/>
    <n v="46586.347500836506"/>
  </r>
  <r>
    <d v="2011-04-17T00:00:00"/>
    <x v="0"/>
    <x v="5"/>
    <x v="2"/>
    <n v="56.371601741600003"/>
    <n v="826.87225000493697"/>
    <n v="46612.113168459015"/>
  </r>
  <r>
    <d v="2014-08-08T00:00:00"/>
    <x v="0"/>
    <x v="1"/>
    <x v="3"/>
    <n v="56.412740780400597"/>
    <n v="826.72577398543103"/>
    <n v="46637.866784316175"/>
  </r>
  <r>
    <d v="2010-01-25T00:00:00"/>
    <x v="0"/>
    <x v="1"/>
    <x v="1"/>
    <n v="56.453879819201802"/>
    <n v="826.57929796592498"/>
    <n v="46663.608348408525"/>
  </r>
  <r>
    <d v="2014-05-20T00:00:00"/>
    <x v="0"/>
    <x v="3"/>
    <x v="3"/>
    <n v="56.4950188580017"/>
    <n v="826.43282194641995"/>
    <n v="46689.337860734558"/>
  </r>
  <r>
    <d v="2012-11-11T00:00:00"/>
    <x v="0"/>
    <x v="2"/>
    <x v="2"/>
    <n v="56.536157896802301"/>
    <n v="826.28634592691401"/>
    <n v="46715.055321295818"/>
  </r>
  <r>
    <d v="2014-06-13T00:00:00"/>
    <x v="0"/>
    <x v="3"/>
    <x v="2"/>
    <n v="56.577296935602803"/>
    <n v="826.13986990740898"/>
    <n v="46740.760730091752"/>
  </r>
  <r>
    <d v="2014-02-11T00:00:00"/>
    <x v="0"/>
    <x v="1"/>
    <x v="1"/>
    <n v="56.618435974403397"/>
    <n v="825.99339388790304"/>
    <n v="46766.454087122402"/>
  </r>
  <r>
    <d v="2013-06-01T00:00:00"/>
    <x v="0"/>
    <x v="4"/>
    <x v="2"/>
    <n v="56.659575013203998"/>
    <n v="825.84691786839699"/>
    <n v="46792.135392387761"/>
  </r>
  <r>
    <d v="2013-09-09T00:00:00"/>
    <x v="0"/>
    <x v="3"/>
    <x v="2"/>
    <n v="56.7007140520045"/>
    <n v="825.70044184889196"/>
    <n v="46817.804645887794"/>
  </r>
  <r>
    <d v="2011-02-24T00:00:00"/>
    <x v="0"/>
    <x v="3"/>
    <x v="2"/>
    <n v="56.741853090805101"/>
    <n v="825.55396582938602"/>
    <n v="46843.461847622559"/>
  </r>
  <r>
    <d v="2014-05-12T00:00:00"/>
    <x v="0"/>
    <x v="3"/>
    <x v="2"/>
    <n v="56.782992129605702"/>
    <n v="825.40748980987996"/>
    <n v="46869.106997592011"/>
  </r>
  <r>
    <d v="2012-12-04T00:00:00"/>
    <x v="0"/>
    <x v="5"/>
    <x v="0"/>
    <n v="56.824131168406197"/>
    <n v="825.26101379037505"/>
    <n v="46894.740095796144"/>
  </r>
  <r>
    <d v="2010-04-18T00:00:00"/>
    <x v="0"/>
    <x v="4"/>
    <x v="1"/>
    <n v="56.865270207206798"/>
    <n v="825.11453777086899"/>
    <n v="46920.361142235008"/>
  </r>
  <r>
    <d v="2014-04-27T00:00:00"/>
    <x v="0"/>
    <x v="5"/>
    <x v="3"/>
    <n v="56.906409246007399"/>
    <n v="824.96806175136305"/>
    <n v="46945.970136908567"/>
  </r>
  <r>
    <d v="2013-09-13T00:00:00"/>
    <x v="0"/>
    <x v="1"/>
    <x v="1"/>
    <n v="56.947548284807901"/>
    <n v="824.82158573185802"/>
    <n v="46971.567079816807"/>
  </r>
  <r>
    <d v="2014-04-15T00:00:00"/>
    <x v="0"/>
    <x v="1"/>
    <x v="1"/>
    <n v="56.988687323608502"/>
    <n v="824.67510971235197"/>
    <n v="46997.151970959763"/>
  </r>
  <r>
    <d v="2010-09-15T00:00:00"/>
    <x v="0"/>
    <x v="0"/>
    <x v="1"/>
    <n v="57.029826362409104"/>
    <n v="824.52863369284603"/>
    <n v="47022.72481033743"/>
  </r>
  <r>
    <d v="2013-11-12T00:00:00"/>
    <x v="0"/>
    <x v="2"/>
    <x v="3"/>
    <n v="57.070965401209598"/>
    <n v="824.382157673341"/>
    <n v="47048.285597949762"/>
  </r>
  <r>
    <d v="2012-02-12T00:00:00"/>
    <x v="0"/>
    <x v="4"/>
    <x v="0"/>
    <n v="57.112104440010199"/>
    <n v="824.23568165383494"/>
    <n v="47073.834333796818"/>
  </r>
  <r>
    <d v="2013-03-28T00:00:00"/>
    <x v="0"/>
    <x v="2"/>
    <x v="2"/>
    <n v="57.153243478810801"/>
    <n v="824.08920563432901"/>
    <n v="47099.371017878584"/>
  </r>
  <r>
    <d v="2011-02-14T00:00:00"/>
    <x v="0"/>
    <x v="0"/>
    <x v="3"/>
    <n v="57.194382517611302"/>
    <n v="823.94272961482397"/>
    <n v="47124.895650195023"/>
  </r>
  <r>
    <d v="2012-05-23T00:00:00"/>
    <x v="0"/>
    <x v="0"/>
    <x v="1"/>
    <n v="57.235521556411904"/>
    <n v="823.79625359531803"/>
    <n v="47150.408230746194"/>
  </r>
  <r>
    <d v="2011-09-06T00:00:00"/>
    <x v="0"/>
    <x v="4"/>
    <x v="2"/>
    <n v="57.276660595212498"/>
    <n v="823.649777575813"/>
    <n v="47175.908759532103"/>
  </r>
  <r>
    <d v="2013-04-15T00:00:00"/>
    <x v="0"/>
    <x v="1"/>
    <x v="2"/>
    <n v="57.317799634012999"/>
    <n v="823.50330155630695"/>
    <n v="47201.397236552584"/>
  </r>
  <r>
    <d v="2010-05-14T00:00:00"/>
    <x v="0"/>
    <x v="4"/>
    <x v="3"/>
    <n v="57.358938672813601"/>
    <n v="823.35682553680101"/>
    <n v="47226.873661807855"/>
  </r>
  <r>
    <d v="2010-12-21T00:00:00"/>
    <x v="0"/>
    <x v="1"/>
    <x v="3"/>
    <n v="57.400077711614202"/>
    <n v="823.21034951729598"/>
    <n v="47252.338035297878"/>
  </r>
  <r>
    <d v="2014-10-06T00:00:00"/>
    <x v="0"/>
    <x v="5"/>
    <x v="1"/>
    <n v="57.441216750414704"/>
    <n v="823.06387349779004"/>
    <n v="47277.790357022466"/>
  </r>
  <r>
    <d v="2012-08-25T00:00:00"/>
    <x v="0"/>
    <x v="3"/>
    <x v="3"/>
    <n v="57.482355789215298"/>
    <n v="822.91739747828399"/>
    <n v="47303.230626981822"/>
  </r>
  <r>
    <d v="2010-05-07T00:00:00"/>
    <x v="1"/>
    <x v="3"/>
    <x v="1"/>
    <n v="57.523494828015899"/>
    <n v="822.77092145877896"/>
    <n v="47328.658845175945"/>
  </r>
  <r>
    <d v="2010-07-24T00:00:00"/>
    <x v="1"/>
    <x v="2"/>
    <x v="1"/>
    <n v="57.564633866816401"/>
    <n v="822.62444543927302"/>
    <n v="47354.075011604633"/>
  </r>
  <r>
    <d v="2012-04-20T00:00:00"/>
    <x v="1"/>
    <x v="3"/>
    <x v="2"/>
    <n v="57.605772905617002"/>
    <n v="822.47796941976799"/>
    <n v="47379.479126268161"/>
  </r>
  <r>
    <d v="2010-06-27T00:00:00"/>
    <x v="1"/>
    <x v="0"/>
    <x v="3"/>
    <n v="57.646911944417603"/>
    <n v="822.33149340026205"/>
    <n v="47404.871189166333"/>
  </r>
  <r>
    <d v="2014-02-03T00:00:00"/>
    <x v="1"/>
    <x v="4"/>
    <x v="3"/>
    <n v="57.688050983218098"/>
    <n v="822.18501738075599"/>
    <n v="47430.251200299106"/>
  </r>
  <r>
    <d v="2011-10-18T00:00:00"/>
    <x v="1"/>
    <x v="0"/>
    <x v="4"/>
    <n v="57.729190022018699"/>
    <n v="822.03854136125096"/>
    <n v="47455.619159666734"/>
  </r>
  <r>
    <d v="2010-03-30T00:00:00"/>
    <x v="1"/>
    <x v="0"/>
    <x v="0"/>
    <n v="57.7703290608193"/>
    <n v="821.89206534174502"/>
    <n v="47480.975067269006"/>
  </r>
  <r>
    <d v="2014-09-20T00:00:00"/>
    <x v="1"/>
    <x v="4"/>
    <x v="4"/>
    <n v="57.811468099619802"/>
    <n v="821.74558932223897"/>
    <n v="47506.318923105893"/>
  </r>
  <r>
    <d v="2012-02-18T00:00:00"/>
    <x v="1"/>
    <x v="4"/>
    <x v="3"/>
    <n v="57.852607138420403"/>
    <n v="821.59911330273405"/>
    <n v="47531.650727177628"/>
  </r>
  <r>
    <d v="2010-03-16T00:00:00"/>
    <x v="1"/>
    <x v="1"/>
    <x v="3"/>
    <n v="57.893746177220997"/>
    <n v="821.452637283228"/>
    <n v="47556.970479483985"/>
  </r>
  <r>
    <d v="2014-08-20T00:00:00"/>
    <x v="1"/>
    <x v="3"/>
    <x v="0"/>
    <n v="57.934885216021499"/>
    <n v="821.30616126372195"/>
    <n v="47582.278180024972"/>
  </r>
  <r>
    <d v="2012-12-29T00:00:00"/>
    <x v="1"/>
    <x v="3"/>
    <x v="1"/>
    <n v="57.9760242548221"/>
    <n v="821.15968524421703"/>
    <n v="47607.573828800807"/>
  </r>
  <r>
    <d v="2014-04-19T00:00:00"/>
    <x v="1"/>
    <x v="2"/>
    <x v="3"/>
    <n v="58.017163293622701"/>
    <n v="821.01320922471098"/>
    <n v="47632.857425811279"/>
  </r>
  <r>
    <d v="2014-02-01T00:00:00"/>
    <x v="1"/>
    <x v="1"/>
    <x v="1"/>
    <n v="58.058302332423203"/>
    <n v="820.86673320520504"/>
    <n v="47658.128971056372"/>
  </r>
  <r>
    <d v="2014-02-23T00:00:00"/>
    <x v="1"/>
    <x v="5"/>
    <x v="3"/>
    <n v="58.099441371223797"/>
    <n v="820.72025718570001"/>
    <n v="47683.388464536292"/>
  </r>
  <r>
    <d v="2013-08-16T00:00:00"/>
    <x v="1"/>
    <x v="0"/>
    <x v="2"/>
    <n v="58.140580410024398"/>
    <n v="820.57378116619395"/>
    <n v="47708.635906250864"/>
  </r>
  <r>
    <d v="2010-10-17T00:00:00"/>
    <x v="1"/>
    <x v="0"/>
    <x v="3"/>
    <n v="58.1817194488249"/>
    <n v="820.42730514668801"/>
    <n v="47733.871296200057"/>
  </r>
  <r>
    <d v="2011-04-26T00:00:00"/>
    <x v="1"/>
    <x v="4"/>
    <x v="4"/>
    <n v="58.222858487625501"/>
    <n v="820.28082912718298"/>
    <n v="47759.094634384091"/>
  </r>
  <r>
    <d v="2012-12-13T00:00:00"/>
    <x v="1"/>
    <x v="0"/>
    <x v="3"/>
    <n v="58.263997526426103"/>
    <n v="820.13435310767704"/>
    <n v="47784.30592080277"/>
  </r>
  <r>
    <d v="2012-06-19T00:00:00"/>
    <x v="1"/>
    <x v="5"/>
    <x v="2"/>
    <n v="58.305136565226597"/>
    <n v="819.98787708817201"/>
    <n v="47809.505155456114"/>
  </r>
  <r>
    <d v="2010-12-09T00:00:00"/>
    <x v="1"/>
    <x v="4"/>
    <x v="1"/>
    <n v="58.346275604027198"/>
    <n v="819.84140106866596"/>
    <n v="47834.692338344183"/>
  </r>
  <r>
    <d v="2011-01-02T00:00:00"/>
    <x v="1"/>
    <x v="4"/>
    <x v="2"/>
    <n v="58.3874146428278"/>
    <n v="819.69492504916002"/>
    <n v="47859.867469466961"/>
  </r>
  <r>
    <d v="2013-09-08T00:00:00"/>
    <x v="1"/>
    <x v="0"/>
    <x v="2"/>
    <n v="58.428553681628301"/>
    <n v="819.54844902965499"/>
    <n v="47885.030548824412"/>
  </r>
  <r>
    <d v="2011-02-15T00:00:00"/>
    <x v="1"/>
    <x v="4"/>
    <x v="3"/>
    <n v="58.469692720428903"/>
    <n v="819.40197301014905"/>
    <n v="47910.181576416595"/>
  </r>
  <r>
    <d v="2012-02-04T00:00:00"/>
    <x v="1"/>
    <x v="3"/>
    <x v="0"/>
    <n v="58.510831759229497"/>
    <n v="819.255496990643"/>
    <n v="47935.320552243458"/>
  </r>
  <r>
    <d v="2013-06-30T00:00:00"/>
    <x v="1"/>
    <x v="5"/>
    <x v="2"/>
    <n v="58.551970798029998"/>
    <n v="819.10902097113797"/>
    <n v="47960.447476305009"/>
  </r>
  <r>
    <d v="2012-09-19T00:00:00"/>
    <x v="1"/>
    <x v="2"/>
    <x v="3"/>
    <n v="58.5931098368306"/>
    <n v="818.96254495163203"/>
    <n v="47985.562348601292"/>
  </r>
  <r>
    <d v="2011-04-24T00:00:00"/>
    <x v="1"/>
    <x v="5"/>
    <x v="3"/>
    <n v="58.634248875631201"/>
    <n v="818.816068932127"/>
    <n v="48010.665169132328"/>
  </r>
  <r>
    <d v="2011-12-26T00:00:00"/>
    <x v="1"/>
    <x v="4"/>
    <x v="2"/>
    <n v="58.675387914431703"/>
    <n v="818.66959291262106"/>
    <n v="48035.755937897928"/>
  </r>
  <r>
    <d v="2011-02-17T00:00:00"/>
    <x v="1"/>
    <x v="5"/>
    <x v="2"/>
    <n v="58.716526953232297"/>
    <n v="818.523116893115"/>
    <n v="48060.834654898295"/>
  </r>
  <r>
    <d v="2010-08-21T00:00:00"/>
    <x v="1"/>
    <x v="3"/>
    <x v="2"/>
    <n v="58.757665992032898"/>
    <n v="818.37664087360997"/>
    <n v="48085.901320133431"/>
  </r>
  <r>
    <d v="2012-11-01T00:00:00"/>
    <x v="1"/>
    <x v="1"/>
    <x v="1"/>
    <n v="58.7988050308334"/>
    <n v="818.23016485410403"/>
    <n v="48110.955933603131"/>
  </r>
  <r>
    <d v="2012-05-12T00:00:00"/>
    <x v="1"/>
    <x v="1"/>
    <x v="0"/>
    <n v="58.839944069634001"/>
    <n v="818.08368883459798"/>
    <n v="48135.998495307613"/>
  </r>
  <r>
    <d v="2010-03-19T00:00:00"/>
    <x v="1"/>
    <x v="0"/>
    <x v="2"/>
    <n v="58.881083108434602"/>
    <n v="817.93721281509295"/>
    <n v="48161.029005246848"/>
  </r>
  <r>
    <d v="2012-01-12T00:00:00"/>
    <x v="1"/>
    <x v="2"/>
    <x v="0"/>
    <n v="58.922222147235097"/>
    <n v="817.79073679558701"/>
    <n v="48186.047463420648"/>
  </r>
  <r>
    <d v="2012-11-21T00:00:00"/>
    <x v="1"/>
    <x v="4"/>
    <x v="3"/>
    <n v="58.963361186035698"/>
    <n v="817.64426077608096"/>
    <n v="48211.053869829222"/>
  </r>
  <r>
    <d v="2011-07-10T00:00:00"/>
    <x v="1"/>
    <x v="0"/>
    <x v="3"/>
    <n v="59.004500224836299"/>
    <n v="817.49778475657604"/>
    <n v="48236.048224472564"/>
  </r>
  <r>
    <d v="2011-05-19T00:00:00"/>
    <x v="1"/>
    <x v="0"/>
    <x v="3"/>
    <n v="59.045639263636801"/>
    <n v="817.35130873706998"/>
    <n v="48261.030527350464"/>
  </r>
  <r>
    <d v="2013-01-25T00:00:00"/>
    <x v="1"/>
    <x v="1"/>
    <x v="3"/>
    <n v="59.086778302437402"/>
    <n v="817.20483271756495"/>
    <n v="48286.000778463203"/>
  </r>
  <r>
    <d v="2013-01-16T00:00:00"/>
    <x v="1"/>
    <x v="0"/>
    <x v="3"/>
    <n v="59.127917341238003"/>
    <n v="817.05835669805901"/>
    <n v="48310.958977810587"/>
  </r>
  <r>
    <d v="2011-12-23T00:00:00"/>
    <x v="1"/>
    <x v="4"/>
    <x v="0"/>
    <n v="59.169056380038498"/>
    <n v="816.91188067855296"/>
    <n v="48335.905125392579"/>
  </r>
  <r>
    <d v="2011-09-03T00:00:00"/>
    <x v="1"/>
    <x v="3"/>
    <x v="3"/>
    <n v="59.210195418839099"/>
    <n v="816.76540465904702"/>
    <n v="48360.839221209368"/>
  </r>
  <r>
    <d v="2013-04-18T00:00:00"/>
    <x v="1"/>
    <x v="1"/>
    <x v="0"/>
    <n v="59.2513344576397"/>
    <n v="816.61892863954199"/>
    <n v="48385.76126526091"/>
  </r>
  <r>
    <d v="2010-11-15T00:00:00"/>
    <x v="1"/>
    <x v="3"/>
    <x v="4"/>
    <n v="59.292473496440202"/>
    <n v="816.47245262003605"/>
    <n v="48410.671257547016"/>
  </r>
  <r>
    <d v="2012-07-08T00:00:00"/>
    <x v="1"/>
    <x v="2"/>
    <x v="1"/>
    <n v="59.333612535240803"/>
    <n v="816.32597660053102"/>
    <n v="48435.569198067955"/>
  </r>
  <r>
    <d v="2014-04-10T00:00:00"/>
    <x v="1"/>
    <x v="2"/>
    <x v="0"/>
    <n v="59.374751574041397"/>
    <n v="816.17950058102497"/>
    <n v="48460.455086823531"/>
  </r>
  <r>
    <d v="2014-07-14T00:00:00"/>
    <x v="1"/>
    <x v="2"/>
    <x v="1"/>
    <n v="59.415890612841899"/>
    <n v="816.03302456151903"/>
    <n v="48485.328923813744"/>
  </r>
  <r>
    <d v="2010-11-16T00:00:00"/>
    <x v="1"/>
    <x v="4"/>
    <x v="2"/>
    <n v="59.4570296516425"/>
    <n v="815.88654854202105"/>
    <n v="48510.190709039205"/>
  </r>
  <r>
    <d v="2011-04-18T00:00:00"/>
    <x v="1"/>
    <x v="4"/>
    <x v="2"/>
    <n v="59.498168690443102"/>
    <n v="815.74007252250794"/>
    <n v="48535.040442498466"/>
  </r>
  <r>
    <d v="2014-08-10T00:00:00"/>
    <x v="1"/>
    <x v="0"/>
    <x v="3"/>
    <n v="59.539307729243603"/>
    <n v="815.593596503002"/>
    <n v="48559.878124192779"/>
  </r>
  <r>
    <d v="2012-04-18T00:00:00"/>
    <x v="1"/>
    <x v="2"/>
    <x v="3"/>
    <n v="59.580446768044197"/>
    <n v="815.44712048349697"/>
    <n v="48584.703754121918"/>
  </r>
  <r>
    <d v="2013-08-16T00:00:00"/>
    <x v="1"/>
    <x v="2"/>
    <x v="1"/>
    <n v="59.621585806844799"/>
    <n v="815.30064446399103"/>
    <n v="48609.517332285708"/>
  </r>
  <r>
    <d v="2012-09-06T00:00:00"/>
    <x v="1"/>
    <x v="0"/>
    <x v="2"/>
    <n v="59.6627248456453"/>
    <n v="815.154168444486"/>
    <n v="48634.318858684172"/>
  </r>
  <r>
    <d v="2010-10-31T00:00:00"/>
    <x v="1"/>
    <x v="1"/>
    <x v="0"/>
    <n v="59.703863884445902"/>
    <n v="815.00769242497995"/>
    <n v="48659.108333317352"/>
  </r>
  <r>
    <d v="2012-04-13T00:00:00"/>
    <x v="1"/>
    <x v="1"/>
    <x v="2"/>
    <n v="59.745002923246503"/>
    <n v="814.86121640547401"/>
    <n v="48683.885756185249"/>
  </r>
  <r>
    <d v="2011-12-14T00:00:00"/>
    <x v="1"/>
    <x v="1"/>
    <x v="3"/>
    <n v="59.786141962046997"/>
    <n v="814.71474038596898"/>
    <n v="48708.651127287805"/>
  </r>
  <r>
    <d v="2012-03-27T00:00:00"/>
    <x v="1"/>
    <x v="2"/>
    <x v="4"/>
    <n v="59.827281000847599"/>
    <n v="814.56826436646304"/>
    <n v="48733.4044466251"/>
  </r>
  <r>
    <d v="2014-03-19T00:00:00"/>
    <x v="2"/>
    <x v="5"/>
    <x v="3"/>
    <n v="59.8684200396482"/>
    <n v="814.42178834695699"/>
    <n v="48758.145714197082"/>
  </r>
  <r>
    <d v="2012-09-23T00:00:00"/>
    <x v="2"/>
    <x v="3"/>
    <x v="0"/>
    <n v="59.909559078448702"/>
    <n v="814.27531232745196"/>
    <n v="48782.874930003753"/>
  </r>
  <r>
    <d v="2010-07-26T00:00:00"/>
    <x v="2"/>
    <x v="0"/>
    <x v="1"/>
    <n v="59.950698117249303"/>
    <n v="814.12883630794602"/>
    <n v="48807.592094045147"/>
  </r>
  <r>
    <d v="2012-09-08T00:00:00"/>
    <x v="2"/>
    <x v="4"/>
    <x v="1"/>
    <n v="59.991837156049897"/>
    <n v="813.98236028843996"/>
    <n v="48832.297206321229"/>
  </r>
  <r>
    <d v="2013-08-18T00:00:00"/>
    <x v="2"/>
    <x v="1"/>
    <x v="1"/>
    <n v="60.032976194850399"/>
    <n v="813.83588426893505"/>
    <n v="48856.990266831999"/>
  </r>
  <r>
    <d v="2014-08-23T00:00:00"/>
    <x v="2"/>
    <x v="2"/>
    <x v="3"/>
    <n v="60.074115233651"/>
    <n v="813.68940824942899"/>
    <n v="48881.671275577493"/>
  </r>
  <r>
    <d v="2012-04-06T00:00:00"/>
    <x v="2"/>
    <x v="4"/>
    <x v="3"/>
    <n v="60.115254272451601"/>
    <n v="813.54293222992396"/>
    <n v="48906.340232557741"/>
  </r>
  <r>
    <d v="2012-09-26T00:00:00"/>
    <x v="2"/>
    <x v="1"/>
    <x v="0"/>
    <n v="60.156393311252103"/>
    <n v="813.39645621041802"/>
    <n v="48930.997137772552"/>
  </r>
  <r>
    <d v="2013-04-23T00:00:00"/>
    <x v="2"/>
    <x v="1"/>
    <x v="0"/>
    <n v="60.197532350052697"/>
    <n v="813.24998019091197"/>
    <n v="48955.641991222139"/>
  </r>
  <r>
    <d v="2012-12-02T00:00:00"/>
    <x v="2"/>
    <x v="5"/>
    <x v="3"/>
    <n v="60.238671388853298"/>
    <n v="813.10350417140603"/>
    <n v="48980.274792906435"/>
  </r>
  <r>
    <d v="2012-04-09T00:00:00"/>
    <x v="2"/>
    <x v="3"/>
    <x v="2"/>
    <n v="60.2798104276538"/>
    <n v="812.957028151901"/>
    <n v="49004.895542825405"/>
  </r>
  <r>
    <d v="2014-03-20T00:00:00"/>
    <x v="2"/>
    <x v="3"/>
    <x v="3"/>
    <n v="60.320949466454401"/>
    <n v="812.81055213239495"/>
    <n v="49029.504240979099"/>
  </r>
  <r>
    <d v="2010-05-24T00:00:00"/>
    <x v="2"/>
    <x v="5"/>
    <x v="0"/>
    <n v="60.362088505255002"/>
    <n v="812.66407611289003"/>
    <n v="49054.100887367553"/>
  </r>
  <r>
    <d v="2013-02-03T00:00:00"/>
    <x v="2"/>
    <x v="5"/>
    <x v="3"/>
    <n v="60.403227544055497"/>
    <n v="812.51760009338398"/>
    <n v="49078.685481990557"/>
  </r>
  <r>
    <d v="2013-06-10T00:00:00"/>
    <x v="2"/>
    <x v="4"/>
    <x v="4"/>
    <n v="60.444366582856098"/>
    <n v="812.37112407387804"/>
    <n v="49103.258024848357"/>
  </r>
  <r>
    <d v="2013-11-22T00:00:00"/>
    <x v="2"/>
    <x v="4"/>
    <x v="2"/>
    <n v="60.485505621656699"/>
    <n v="812.22464805437301"/>
    <n v="49127.818515940911"/>
  </r>
  <r>
    <d v="2010-12-16T00:00:00"/>
    <x v="2"/>
    <x v="0"/>
    <x v="3"/>
    <n v="60.526644660457201"/>
    <n v="812.07817203486695"/>
    <n v="49152.366955268022"/>
  </r>
  <r>
    <d v="2010-01-14T00:00:00"/>
    <x v="2"/>
    <x v="1"/>
    <x v="2"/>
    <n v="60.567783699257802"/>
    <n v="811.93169601536101"/>
    <n v="49176.903342829923"/>
  </r>
  <r>
    <d v="2014-08-23T00:00:00"/>
    <x v="2"/>
    <x v="0"/>
    <x v="2"/>
    <n v="60.608922738058403"/>
    <n v="811.78521999585598"/>
    <n v="49201.427678626576"/>
  </r>
  <r>
    <d v="2011-08-02T00:00:00"/>
    <x v="2"/>
    <x v="4"/>
    <x v="0"/>
    <n v="60.650061776858898"/>
    <n v="811.63874397635004"/>
    <n v="49225.939962657794"/>
  </r>
  <r>
    <d v="2013-01-21T00:00:00"/>
    <x v="2"/>
    <x v="2"/>
    <x v="4"/>
    <n v="60.691200815659499"/>
    <n v="811.49226795684501"/>
    <n v="49250.440194923845"/>
  </r>
  <r>
    <d v="2012-06-21T00:00:00"/>
    <x v="2"/>
    <x v="0"/>
    <x v="3"/>
    <n v="60.732339854460101"/>
    <n v="811.34579193733896"/>
    <n v="49274.928375424541"/>
  </r>
  <r>
    <d v="2011-08-03T00:00:00"/>
    <x v="2"/>
    <x v="3"/>
    <x v="3"/>
    <n v="60.773478893260602"/>
    <n v="811.19931591783302"/>
    <n v="49299.404504159866"/>
  </r>
  <r>
    <d v="2010-04-01T00:00:00"/>
    <x v="2"/>
    <x v="0"/>
    <x v="3"/>
    <n v="60.814617932061203"/>
    <n v="811.05283989832799"/>
    <n v="49323.868581130024"/>
  </r>
  <r>
    <d v="2011-05-13T00:00:00"/>
    <x v="2"/>
    <x v="2"/>
    <x v="3"/>
    <n v="60.855756970861798"/>
    <n v="810.90636387882205"/>
    <n v="49348.320606334819"/>
  </r>
  <r>
    <d v="2012-09-11T00:00:00"/>
    <x v="2"/>
    <x v="0"/>
    <x v="3"/>
    <n v="60.896896009662299"/>
    <n v="810.759887859316"/>
    <n v="49372.760579774236"/>
  </r>
  <r>
    <d v="2011-07-29T00:00:00"/>
    <x v="2"/>
    <x v="2"/>
    <x v="4"/>
    <n v="60.938035048462901"/>
    <n v="810.61341183981096"/>
    <n v="49397.188501448494"/>
  </r>
  <r>
    <d v="2014-12-25T00:00:00"/>
    <x v="2"/>
    <x v="3"/>
    <x v="0"/>
    <n v="60.979174087263502"/>
    <n v="810.46693582030503"/>
    <n v="49421.604371357396"/>
  </r>
  <r>
    <d v="2011-07-06T00:00:00"/>
    <x v="2"/>
    <x v="4"/>
    <x v="0"/>
    <n v="61.020313126064003"/>
    <n v="810.32045980079897"/>
    <n v="49446.008189500913"/>
  </r>
  <r>
    <d v="2014-06-12T00:00:00"/>
    <x v="2"/>
    <x v="3"/>
    <x v="3"/>
    <n v="61.061452164864598"/>
    <n v="810.17398378129406"/>
    <n v="49470.399955879271"/>
  </r>
  <r>
    <d v="2013-03-17T00:00:00"/>
    <x v="2"/>
    <x v="5"/>
    <x v="3"/>
    <n v="61.102591203665199"/>
    <n v="810.027507761788"/>
    <n v="49494.779670492273"/>
  </r>
  <r>
    <d v="2012-02-09T00:00:00"/>
    <x v="2"/>
    <x v="0"/>
    <x v="2"/>
    <n v="61.143730242465701"/>
    <n v="809.88103174228297"/>
    <n v="49519.147333339948"/>
  </r>
  <r>
    <d v="2013-05-17T00:00:00"/>
    <x v="2"/>
    <x v="4"/>
    <x v="2"/>
    <n v="61.184869281266302"/>
    <n v="809.73455572277703"/>
    <n v="49543.502944422355"/>
  </r>
  <r>
    <d v="2013-02-14T00:00:00"/>
    <x v="2"/>
    <x v="2"/>
    <x v="1"/>
    <n v="61.226008320066903"/>
    <n v="809.58807970327098"/>
    <n v="49567.846503739456"/>
  </r>
  <r>
    <d v="2010-05-21T00:00:00"/>
    <x v="2"/>
    <x v="2"/>
    <x v="2"/>
    <n v="61.267147358867398"/>
    <n v="809.44160368376595"/>
    <n v="49592.178011291231"/>
  </r>
  <r>
    <d v="2013-07-30T00:00:00"/>
    <x v="2"/>
    <x v="5"/>
    <x v="4"/>
    <n v="61.308286397667999"/>
    <n v="809.29512766426001"/>
    <n v="49616.497467077737"/>
  </r>
  <r>
    <d v="2010-09-11T00:00:00"/>
    <x v="2"/>
    <x v="4"/>
    <x v="2"/>
    <n v="61.3494254364686"/>
    <n v="809.14865164475395"/>
    <n v="49640.804871098939"/>
  </r>
  <r>
    <d v="2011-03-10T00:00:00"/>
    <x v="2"/>
    <x v="1"/>
    <x v="0"/>
    <n v="61.390564475269102"/>
    <n v="809.00217562524904"/>
    <n v="49665.100223354828"/>
  </r>
  <r>
    <d v="2013-07-26T00:00:00"/>
    <x v="2"/>
    <x v="0"/>
    <x v="3"/>
    <n v="61.431703514069703"/>
    <n v="808.85569960574298"/>
    <n v="49689.383523845427"/>
  </r>
  <r>
    <d v="2011-10-26T00:00:00"/>
    <x v="2"/>
    <x v="0"/>
    <x v="3"/>
    <n v="61.472842552870297"/>
    <n v="808.70922358623704"/>
    <n v="49713.654772570735"/>
  </r>
  <r>
    <d v="2014-08-19T00:00:00"/>
    <x v="2"/>
    <x v="1"/>
    <x v="2"/>
    <n v="61.513981591670799"/>
    <n v="808.56274756673201"/>
    <n v="49737.913969530717"/>
  </r>
  <r>
    <d v="2014-09-06T00:00:00"/>
    <x v="2"/>
    <x v="4"/>
    <x v="2"/>
    <n v="61.5551206304714"/>
    <n v="808.41627154722596"/>
    <n v="49762.161114725415"/>
  </r>
  <r>
    <d v="2012-03-16T00:00:00"/>
    <x v="2"/>
    <x v="5"/>
    <x v="2"/>
    <n v="61.596259669272001"/>
    <n v="808.26979552772002"/>
    <n v="49786.396208154831"/>
  </r>
  <r>
    <d v="2014-07-28T00:00:00"/>
    <x v="2"/>
    <x v="1"/>
    <x v="1"/>
    <n v="61.637398708072503"/>
    <n v="808.12331950821499"/>
    <n v="49810.619249818912"/>
  </r>
  <r>
    <d v="2012-09-01T00:00:00"/>
    <x v="2"/>
    <x v="2"/>
    <x v="0"/>
    <n v="61.678537746873097"/>
    <n v="807.97684348870905"/>
    <n v="49834.830239717718"/>
  </r>
  <r>
    <d v="2010-12-20T00:00:00"/>
    <x v="2"/>
    <x v="5"/>
    <x v="2"/>
    <n v="61.719676785673698"/>
    <n v="807.83036746920402"/>
    <n v="49859.029177851284"/>
  </r>
  <r>
    <d v="2011-06-07T00:00:00"/>
    <x v="2"/>
    <x v="3"/>
    <x v="2"/>
    <n v="61.7608158244742"/>
    <n v="807.68389144969797"/>
    <n v="49883.216064219407"/>
  </r>
  <r>
    <d v="2012-05-20T00:00:00"/>
    <x v="2"/>
    <x v="4"/>
    <x v="3"/>
    <n v="61.801954863274801"/>
    <n v="807.53741543019203"/>
    <n v="49907.390898822319"/>
  </r>
  <r>
    <d v="2013-01-15T00:00:00"/>
    <x v="2"/>
    <x v="0"/>
    <x v="2"/>
    <n v="61.843093902075402"/>
    <n v="807.390939410687"/>
    <n v="49931.553681659985"/>
  </r>
  <r>
    <d v="2014-11-16T00:00:00"/>
    <x v="2"/>
    <x v="1"/>
    <x v="1"/>
    <n v="61.884232940875897"/>
    <n v="807.24446339118094"/>
    <n v="49955.704412732208"/>
  </r>
  <r>
    <d v="2011-09-16T00:00:00"/>
    <x v="2"/>
    <x v="4"/>
    <x v="3"/>
    <n v="61.925371979676498"/>
    <n v="807.097987371675"/>
    <n v="49979.84309203922"/>
  </r>
  <r>
    <d v="2013-05-10T00:00:00"/>
    <x v="2"/>
    <x v="4"/>
    <x v="1"/>
    <n v="61.9665110184771"/>
    <n v="806.95151135216997"/>
    <n v="50003.969719580986"/>
  </r>
  <r>
    <d v="2010-02-05T00:00:00"/>
    <x v="2"/>
    <x v="2"/>
    <x v="2"/>
    <n v="62.007650057277601"/>
    <n v="806.80503533266403"/>
    <n v="50028.084295357323"/>
  </r>
  <r>
    <d v="2011-02-11T00:00:00"/>
    <x v="2"/>
    <x v="1"/>
    <x v="2"/>
    <n v="62.048789096078202"/>
    <n v="806.65855931315798"/>
    <n v="50052.186819368428"/>
  </r>
  <r>
    <d v="2014-01-19T00:00:00"/>
    <x v="3"/>
    <x v="5"/>
    <x v="3"/>
    <n v="62.089928134878797"/>
    <n v="806.51208329365295"/>
    <n v="50076.277291614293"/>
  </r>
  <r>
    <d v="2011-06-28T00:00:00"/>
    <x v="3"/>
    <x v="3"/>
    <x v="0"/>
    <n v="62.131067173679298"/>
    <n v="806.36560727414701"/>
    <n v="50100.35571209473"/>
  </r>
  <r>
    <d v="2013-06-18T00:00:00"/>
    <x v="3"/>
    <x v="3"/>
    <x v="3"/>
    <n v="62.1722062124799"/>
    <n v="806.21913125464198"/>
    <n v="50124.42208081"/>
  </r>
  <r>
    <d v="2012-03-23T00:00:00"/>
    <x v="3"/>
    <x v="3"/>
    <x v="2"/>
    <n v="62.213345251280501"/>
    <n v="806.07265523513604"/>
    <n v="50148.476397759914"/>
  </r>
  <r>
    <d v="2013-02-13T00:00:00"/>
    <x v="3"/>
    <x v="0"/>
    <x v="0"/>
    <n v="62.254484290081002"/>
    <n v="805.92617921562999"/>
    <n v="50172.518662944443"/>
  </r>
  <r>
    <d v="2012-07-05T00:00:00"/>
    <x v="3"/>
    <x v="2"/>
    <x v="1"/>
    <n v="62.295623328881597"/>
    <n v="805.77970319612496"/>
    <n v="50196.548876363813"/>
  </r>
  <r>
    <d v="2014-09-19T00:00:00"/>
    <x v="3"/>
    <x v="2"/>
    <x v="3"/>
    <n v="62.336762367682198"/>
    <n v="805.63322717661902"/>
    <n v="50220.567038017827"/>
  </r>
  <r>
    <d v="2010-10-02T00:00:00"/>
    <x v="3"/>
    <x v="5"/>
    <x v="0"/>
    <n v="62.3779014064827"/>
    <n v="805.48675115711296"/>
    <n v="50244.573147906456"/>
  </r>
  <r>
    <d v="2013-01-08T00:00:00"/>
    <x v="3"/>
    <x v="5"/>
    <x v="3"/>
    <n v="62.419040445283301"/>
    <n v="805.34027513760805"/>
    <n v="50268.56720602994"/>
  </r>
  <r>
    <d v="2014-12-03T00:00:00"/>
    <x v="3"/>
    <x v="0"/>
    <x v="3"/>
    <n v="62.460179484083902"/>
    <n v="805.19379911810199"/>
    <n v="50292.549212388047"/>
  </r>
  <r>
    <d v="2011-09-01T00:00:00"/>
    <x v="3"/>
    <x v="5"/>
    <x v="1"/>
    <n v="62.501318522884397"/>
    <n v="805.04732309859605"/>
    <n v="50316.519166980783"/>
  </r>
  <r>
    <d v="2013-07-01T00:00:00"/>
    <x v="3"/>
    <x v="2"/>
    <x v="2"/>
    <n v="62.542457561684998"/>
    <n v="804.90084707909102"/>
    <n v="50340.477069808359"/>
  </r>
  <r>
    <d v="2013-11-27T00:00:00"/>
    <x v="3"/>
    <x v="1"/>
    <x v="2"/>
    <n v="62.583596600485599"/>
    <n v="804.75437105958497"/>
    <n v="50364.422920870566"/>
  </r>
  <r>
    <d v="2010-07-28T00:00:00"/>
    <x v="3"/>
    <x v="0"/>
    <x v="2"/>
    <n v="62.624735639286101"/>
    <n v="804.60789504007903"/>
    <n v="50388.356720167409"/>
  </r>
  <r>
    <d v="2011-05-30T00:00:00"/>
    <x v="3"/>
    <x v="2"/>
    <x v="2"/>
    <n v="62.665874678086702"/>
    <n v="804.461419020574"/>
    <n v="50412.278467699085"/>
  </r>
  <r>
    <d v="2010-02-07T00:00:00"/>
    <x v="3"/>
    <x v="1"/>
    <x v="2"/>
    <n v="62.707013716887303"/>
    <n v="804.31494300106795"/>
    <n v="50436.188163465398"/>
  </r>
  <r>
    <d v="2012-07-22T00:00:00"/>
    <x v="3"/>
    <x v="3"/>
    <x v="2"/>
    <n v="62.748152755687798"/>
    <n v="804.16846698156201"/>
    <n v="50460.085807466334"/>
  </r>
  <r>
    <d v="2013-02-21T00:00:00"/>
    <x v="3"/>
    <x v="1"/>
    <x v="1"/>
    <n v="62.789291794488399"/>
    <n v="804.02199096205698"/>
    <n v="50483.97139970211"/>
  </r>
  <r>
    <d v="2014-08-01T00:00:00"/>
    <x v="3"/>
    <x v="5"/>
    <x v="3"/>
    <n v="62.830430833289"/>
    <n v="803.87551494255104"/>
    <n v="50507.84494017253"/>
  </r>
  <r>
    <d v="2013-05-13T00:00:00"/>
    <x v="3"/>
    <x v="2"/>
    <x v="2"/>
    <n v="62.871569872089502"/>
    <n v="803.72903892304601"/>
    <n v="50531.706428877631"/>
  </r>
  <r>
    <d v="2013-10-11T00:00:00"/>
    <x v="3"/>
    <x v="3"/>
    <x v="3"/>
    <n v="62.912708910890103"/>
    <n v="803.58256290353995"/>
    <n v="50555.555865817441"/>
  </r>
  <r>
    <d v="2010-02-14T00:00:00"/>
    <x v="3"/>
    <x v="1"/>
    <x v="3"/>
    <n v="62.953847949690697"/>
    <n v="803.43608688403401"/>
    <n v="50579.393250991961"/>
  </r>
  <r>
    <d v="2010-12-25T00:00:00"/>
    <x v="3"/>
    <x v="0"/>
    <x v="0"/>
    <n v="62.994986988491199"/>
    <n v="803.28961086452898"/>
    <n v="50603.218584401162"/>
  </r>
  <r>
    <d v="2012-09-21T00:00:00"/>
    <x v="3"/>
    <x v="0"/>
    <x v="0"/>
    <n v="63.0361260272918"/>
    <n v="803.14313484502304"/>
    <n v="50627.031866045087"/>
  </r>
  <r>
    <d v="2013-09-12T00:00:00"/>
    <x v="3"/>
    <x v="0"/>
    <x v="1"/>
    <n v="63.077265066092401"/>
    <n v="802.99665882551699"/>
    <n v="50650.833095923699"/>
  </r>
  <r>
    <d v="2013-06-12T00:00:00"/>
    <x v="3"/>
    <x v="2"/>
    <x v="4"/>
    <n v="63.118404104892903"/>
    <n v="802.85018280601196"/>
    <n v="50674.622274036999"/>
  </r>
  <r>
    <d v="2012-04-09T00:00:00"/>
    <x v="3"/>
    <x v="3"/>
    <x v="1"/>
    <n v="63.159543143693497"/>
    <n v="802.70370678650602"/>
    <n v="50698.399400385024"/>
  </r>
  <r>
    <d v="2010-01-21T00:00:00"/>
    <x v="3"/>
    <x v="1"/>
    <x v="1"/>
    <n v="63.200682182494099"/>
    <n v="802.55723076700099"/>
    <n v="50722.164474967802"/>
  </r>
  <r>
    <d v="2013-04-03T00:00:00"/>
    <x v="3"/>
    <x v="4"/>
    <x v="2"/>
    <n v="63.2418212212946"/>
    <n v="802.41075474749505"/>
    <n v="50745.917497785151"/>
  </r>
  <r>
    <d v="2012-04-09T00:00:00"/>
    <x v="3"/>
    <x v="4"/>
    <x v="0"/>
    <n v="63.282960260095201"/>
    <n v="802.26427872798899"/>
    <n v="50769.658468837268"/>
  </r>
  <r>
    <d v="2012-08-30T00:00:00"/>
    <x v="3"/>
    <x v="1"/>
    <x v="3"/>
    <n v="63.324099298895803"/>
    <n v="802.11780270848396"/>
    <n v="50793.387388124152"/>
  </r>
  <r>
    <d v="2012-03-28T00:00:00"/>
    <x v="3"/>
    <x v="4"/>
    <x v="0"/>
    <n v="63.365238337696297"/>
    <n v="801.97132668897802"/>
    <n v="50817.104255645594"/>
  </r>
  <r>
    <d v="2012-10-16T00:00:00"/>
    <x v="3"/>
    <x v="4"/>
    <x v="3"/>
    <n v="63.406377376496899"/>
    <n v="801.82485066947197"/>
    <n v="50840.809071401811"/>
  </r>
  <r>
    <d v="2013-05-16T00:00:00"/>
    <x v="3"/>
    <x v="3"/>
    <x v="2"/>
    <n v="63.4475164152975"/>
    <n v="801.67837464996705"/>
    <n v="50864.501835392803"/>
  </r>
  <r>
    <d v="2012-06-03T00:00:00"/>
    <x v="3"/>
    <x v="0"/>
    <x v="1"/>
    <n v="63.488655454098001"/>
    <n v="801.531898630461"/>
    <n v="50888.182547618344"/>
  </r>
  <r>
    <d v="2010-07-10T00:00:00"/>
    <x v="3"/>
    <x v="3"/>
    <x v="1"/>
    <n v="63.529794492898603"/>
    <n v="801.38542261095495"/>
    <n v="50911.851208078668"/>
  </r>
  <r>
    <d v="2013-05-21T00:00:00"/>
    <x v="3"/>
    <x v="0"/>
    <x v="1"/>
    <n v="63.570933531699197"/>
    <n v="801.23894659145003"/>
    <n v="50935.507816773752"/>
  </r>
  <r>
    <d v="2010-12-20T00:00:00"/>
    <x v="3"/>
    <x v="5"/>
    <x v="3"/>
    <n v="63.612072570499699"/>
    <n v="801.09247057194398"/>
    <n v="50959.152373703393"/>
  </r>
  <r>
    <d v="2011-12-24T00:00:00"/>
    <x v="3"/>
    <x v="4"/>
    <x v="1"/>
    <n v="63.6532116093003"/>
    <n v="800.94599455243804"/>
    <n v="50982.784878867824"/>
  </r>
  <r>
    <d v="2011-07-18T00:00:00"/>
    <x v="3"/>
    <x v="4"/>
    <x v="0"/>
    <n v="63.694350648100901"/>
    <n v="800.79951853293301"/>
    <n v="51006.405332267008"/>
  </r>
  <r>
    <d v="2010-08-12T00:00:00"/>
    <x v="3"/>
    <x v="1"/>
    <x v="3"/>
    <n v="63.735489686901403"/>
    <n v="800.65304251342695"/>
    <n v="51030.013733900756"/>
  </r>
  <r>
    <d v="2012-02-21T00:00:00"/>
    <x v="3"/>
    <x v="2"/>
    <x v="1"/>
    <n v="63.776628725701997"/>
    <n v="800.50656649392101"/>
    <n v="51053.610083769279"/>
  </r>
  <r>
    <d v="2010-04-25T00:00:00"/>
    <x v="3"/>
    <x v="5"/>
    <x v="4"/>
    <n v="63.817767764502598"/>
    <n v="800.36009047441598"/>
    <n v="51077.19438187257"/>
  </r>
  <r>
    <d v="2011-07-26T00:00:00"/>
    <x v="3"/>
    <x v="1"/>
    <x v="2"/>
    <n v="63.8589068033031"/>
    <n v="800.21361445491004"/>
    <n v="51100.766628210418"/>
  </r>
  <r>
    <d v="2012-06-01T00:00:00"/>
    <x v="3"/>
    <x v="1"/>
    <x v="1"/>
    <n v="63.900045842103701"/>
    <n v="800.06713843540501"/>
    <n v="51124.326822783107"/>
  </r>
  <r>
    <d v="2010-05-13T00:00:00"/>
    <x v="3"/>
    <x v="3"/>
    <x v="2"/>
    <n v="63.941184880904302"/>
    <n v="799.92066241589896"/>
    <n v="51147.874965590432"/>
  </r>
  <r>
    <d v="2011-06-05T00:00:00"/>
    <x v="3"/>
    <x v="0"/>
    <x v="4"/>
    <n v="63.982323919704797"/>
    <n v="799.77418639639302"/>
    <n v="51171.41105663238"/>
  </r>
  <r>
    <d v="2013-06-21T00:00:00"/>
    <x v="3"/>
    <x v="3"/>
    <x v="4"/>
    <n v="64.023462958505405"/>
    <n v="799.62771037688799"/>
    <n v="51194.935095909175"/>
  </r>
  <r>
    <d v="2012-10-11T00:00:00"/>
    <x v="3"/>
    <x v="2"/>
    <x v="4"/>
    <n v="64.064601997305999"/>
    <n v="799.48123435738205"/>
    <n v="51218.4470834206"/>
  </r>
  <r>
    <d v="2011-08-22T00:00:00"/>
    <x v="3"/>
    <x v="0"/>
    <x v="2"/>
    <n v="64.105741036106494"/>
    <n v="799.334758337876"/>
    <n v="51241.947019166648"/>
  </r>
  <r>
    <d v="2014-07-26T00:00:00"/>
    <x v="3"/>
    <x v="0"/>
    <x v="1"/>
    <n v="64.146880074907102"/>
    <n v="799.18828231837097"/>
    <n v="51265.434903147543"/>
  </r>
  <r>
    <d v="2014-01-29T00:00:00"/>
    <x v="3"/>
    <x v="1"/>
    <x v="0"/>
    <n v="64.188019113707696"/>
    <n v="799.04180629886503"/>
    <n v="51288.910735363068"/>
  </r>
  <r>
    <d v="2010-10-11T00:00:00"/>
    <x v="3"/>
    <x v="0"/>
    <x v="3"/>
    <n v="64.229158152508205"/>
    <n v="798.89533027936"/>
    <n v="51312.374515813288"/>
  </r>
  <r>
    <d v="2013-01-30T00:00:00"/>
    <x v="3"/>
    <x v="5"/>
    <x v="2"/>
    <n v="64.270297191308799"/>
    <n v="798.74885425985406"/>
    <n v="51335.826244498217"/>
  </r>
  <r>
    <d v="2012-03-12T00:00:00"/>
    <x v="3"/>
    <x v="1"/>
    <x v="3"/>
    <n v="64.311436230109393"/>
    <n v="798.602378240348"/>
    <n v="51359.265921417842"/>
  </r>
  <r>
    <d v="2012-12-19T00:00:00"/>
    <x v="3"/>
    <x v="5"/>
    <x v="2"/>
    <n v="64.352575268909902"/>
    <n v="798.45590222084297"/>
    <n v="51382.693546572162"/>
  </r>
  <r>
    <d v="2013-03-27T00:00:00"/>
    <x v="3"/>
    <x v="2"/>
    <x v="3"/>
    <n v="64.393714307710496"/>
    <n v="798.309426202037"/>
    <n v="51406.109120006266"/>
  </r>
  <r>
    <d v="2014-09-27T00:00:00"/>
    <x v="3"/>
    <x v="4"/>
    <x v="2"/>
    <n v="64.434853346511105"/>
    <n v="798.16295018183098"/>
    <n v="51429.51264158493"/>
  </r>
  <r>
    <d v="2011-08-04T00:00:00"/>
    <x v="3"/>
    <x v="3"/>
    <x v="4"/>
    <n v="64.475992385311599"/>
    <n v="798.01647416232595"/>
    <n v="51452.904111443335"/>
  </r>
  <r>
    <d v="2010-06-22T00:00:00"/>
    <x v="3"/>
    <x v="0"/>
    <x v="1"/>
    <n v="64.517131424112193"/>
    <n v="797.86999814282001"/>
    <n v="51476.283529536471"/>
  </r>
  <r>
    <d v="2010-05-11T00:00:00"/>
    <x v="3"/>
    <x v="2"/>
    <x v="2"/>
    <n v="64.558270462912802"/>
    <n v="797.72352212331396"/>
    <n v="51499.65089586431"/>
  </r>
  <r>
    <d v="2014-09-23T00:00:00"/>
    <x v="3"/>
    <x v="5"/>
    <x v="3"/>
    <n v="64.599409501713296"/>
    <n v="797.57704610380904"/>
    <n v="51523.006210426829"/>
  </r>
  <r>
    <d v="2010-06-16T00:00:00"/>
    <x v="3"/>
    <x v="1"/>
    <x v="3"/>
    <n v="64.640548540513905"/>
    <n v="797.43057008430299"/>
    <n v="51546.349473224065"/>
  </r>
  <r>
    <d v="2011-01-16T00:00:00"/>
    <x v="3"/>
    <x v="4"/>
    <x v="1"/>
    <n v="64.681687579314499"/>
    <n v="797.28409406479705"/>
    <n v="51569.680684255996"/>
  </r>
  <r>
    <d v="2010-04-26T00:00:00"/>
    <x v="3"/>
    <x v="0"/>
    <x v="2"/>
    <n v="64.722826618114993"/>
    <n v="797.13761804529202"/>
    <n v="51592.999843522608"/>
  </r>
  <r>
    <d v="2014-06-11T00:00:00"/>
    <x v="3"/>
    <x v="2"/>
    <x v="1"/>
    <n v="64.763965656915602"/>
    <n v="796.99114202578596"/>
    <n v="51616.306951023944"/>
  </r>
  <r>
    <d v="2012-09-18T00:00:00"/>
    <x v="3"/>
    <x v="2"/>
    <x v="0"/>
    <n v="64.805104695716196"/>
    <n v="796.84466600628002"/>
    <n v="51639.602006759982"/>
  </r>
  <r>
    <d v="2012-07-13T00:00:00"/>
    <x v="3"/>
    <x v="1"/>
    <x v="3"/>
    <n v="64.846243734516705"/>
    <n v="796.69818998677499"/>
    <n v="51662.885010730708"/>
  </r>
  <r>
    <d v="2010-10-31T00:00:00"/>
    <x v="3"/>
    <x v="3"/>
    <x v="2"/>
    <n v="64.887382773317299"/>
    <n v="796.55171396726905"/>
    <n v="51686.155962936144"/>
  </r>
  <r>
    <d v="2010-02-10T00:00:00"/>
    <x v="3"/>
    <x v="4"/>
    <x v="4"/>
    <n v="64.928521812117907"/>
    <n v="796.40523794776402"/>
    <n v="51709.414863376347"/>
  </r>
  <r>
    <d v="2014-02-21T00:00:00"/>
    <x v="3"/>
    <x v="1"/>
    <x v="3"/>
    <n v="64.969660850918402"/>
    <n v="796.25876192825797"/>
    <n v="51732.6617120511"/>
  </r>
  <r>
    <d v="2011-11-24T00:00:00"/>
    <x v="3"/>
    <x v="5"/>
    <x v="1"/>
    <n v="65.010799889718996"/>
    <n v="796.11228590875203"/>
    <n v="51755.896508960635"/>
  </r>
  <r>
    <d v="2012-01-25T00:00:00"/>
    <x v="3"/>
    <x v="3"/>
    <x v="3"/>
    <n v="65.051938928519604"/>
    <n v="795.965809889247"/>
    <n v="51779.119254104939"/>
  </r>
  <r>
    <d v="2012-08-28T00:00:00"/>
    <x v="4"/>
    <x v="4"/>
    <x v="3"/>
    <n v="65.093077967320099"/>
    <n v="795.81933386974094"/>
    <n v="51802.329947483791"/>
  </r>
  <r>
    <d v="2011-02-10T00:00:00"/>
    <x v="4"/>
    <x v="0"/>
    <x v="3"/>
    <n v="65.134217006120707"/>
    <n v="795.672857850235"/>
    <n v="51825.528589097441"/>
  </r>
  <r>
    <d v="2010-09-02T00:00:00"/>
    <x v="4"/>
    <x v="4"/>
    <x v="2"/>
    <n v="65.175356044921301"/>
    <n v="795.52638183072997"/>
    <n v="51848.715178945837"/>
  </r>
  <r>
    <d v="2010-01-28T00:00:00"/>
    <x v="4"/>
    <x v="5"/>
    <x v="3"/>
    <n v="65.216495083721796"/>
    <n v="795.37990581122403"/>
    <n v="51871.889717028796"/>
  </r>
  <r>
    <d v="2010-04-05T00:00:00"/>
    <x v="0"/>
    <x v="0"/>
    <x v="0"/>
    <n v="65.257634122522404"/>
    <n v="795.233429791719"/>
    <n v="51895.052203346604"/>
  </r>
  <r>
    <d v="2014-05-20T00:00:00"/>
    <x v="0"/>
    <x v="1"/>
    <x v="1"/>
    <n v="65.298773161322998"/>
    <n v="795.08695377221295"/>
    <n v="51918.202637899041"/>
  </r>
  <r>
    <d v="2013-11-05T00:00:00"/>
    <x v="0"/>
    <x v="2"/>
    <x v="1"/>
    <n v="65.339912200123507"/>
    <n v="794.94047775270701"/>
    <n v="51941.341020686108"/>
  </r>
  <r>
    <d v="2014-04-23T00:00:00"/>
    <x v="0"/>
    <x v="3"/>
    <x v="2"/>
    <n v="65.381051238924101"/>
    <n v="794.79400173320198"/>
    <n v="51964.467351708008"/>
  </r>
  <r>
    <d v="2011-02-08T00:00:00"/>
    <x v="0"/>
    <x v="0"/>
    <x v="2"/>
    <n v="65.422190277724695"/>
    <n v="794.64752571369604"/>
    <n v="51987.581630964552"/>
  </r>
  <r>
    <d v="2012-09-19T00:00:00"/>
    <x v="0"/>
    <x v="2"/>
    <x v="2"/>
    <n v="65.463329316525204"/>
    <n v="794.50104969418999"/>
    <n v="52010.683858455719"/>
  </r>
  <r>
    <d v="2011-02-02T00:00:00"/>
    <x v="0"/>
    <x v="2"/>
    <x v="3"/>
    <n v="65.504468355325798"/>
    <n v="794.35457367468496"/>
    <n v="52033.774034181719"/>
  </r>
  <r>
    <d v="2010-07-12T00:00:00"/>
    <x v="0"/>
    <x v="2"/>
    <x v="4"/>
    <n v="65.545607394126407"/>
    <n v="794.20809765517902"/>
    <n v="52056.85215814237"/>
  </r>
  <r>
    <d v="2010-02-25T00:00:00"/>
    <x v="0"/>
    <x v="4"/>
    <x v="0"/>
    <n v="65.586746432926901"/>
    <n v="794.06162163567296"/>
    <n v="52079.918230337622"/>
  </r>
  <r>
    <d v="2010-08-17T00:00:00"/>
    <x v="0"/>
    <x v="4"/>
    <x v="2"/>
    <n v="65.627885471727495"/>
    <n v="793.91514561616805"/>
    <n v="52102.972250767736"/>
  </r>
  <r>
    <d v="2012-03-13T00:00:00"/>
    <x v="0"/>
    <x v="5"/>
    <x v="2"/>
    <n v="65.669024510528104"/>
    <n v="793.76866959666199"/>
    <n v="52126.01421943248"/>
  </r>
  <r>
    <d v="2013-03-25T00:00:00"/>
    <x v="0"/>
    <x v="4"/>
    <x v="1"/>
    <n v="65.710163549328598"/>
    <n v="793.62219357715605"/>
    <n v="52149.044136331846"/>
  </r>
  <r>
    <d v="2013-09-02T00:00:00"/>
    <x v="0"/>
    <x v="0"/>
    <x v="3"/>
    <n v="65.751302588129207"/>
    <n v="793.47571755765102"/>
    <n v="52172.06200146606"/>
  </r>
  <r>
    <d v="2010-01-11T00:00:00"/>
    <x v="0"/>
    <x v="2"/>
    <x v="3"/>
    <n v="65.792441626929801"/>
    <n v="793.32924153814497"/>
    <n v="52195.067814834896"/>
  </r>
  <r>
    <d v="2013-01-17T00:00:00"/>
    <x v="0"/>
    <x v="4"/>
    <x v="3"/>
    <n v="65.833580665730295"/>
    <n v="793.18276551863903"/>
    <n v="52218.061576438362"/>
  </r>
  <r>
    <d v="2010-06-26T00:00:00"/>
    <x v="0"/>
    <x v="2"/>
    <x v="3"/>
    <n v="65.874719704530904"/>
    <n v="793.036289499134"/>
    <n v="52241.043286276676"/>
  </r>
  <r>
    <d v="2012-05-05T00:00:00"/>
    <x v="0"/>
    <x v="5"/>
    <x v="3"/>
    <n v="65.915858743331498"/>
    <n v="792.88981347962795"/>
    <n v="52264.012944349612"/>
  </r>
  <r>
    <d v="2013-03-13T00:00:00"/>
    <x v="0"/>
    <x v="2"/>
    <x v="3"/>
    <n v="65.956997782132007"/>
    <n v="792.74333746012303"/>
    <n v="52286.970550657257"/>
  </r>
  <r>
    <d v="2014-03-19T00:00:00"/>
    <x v="0"/>
    <x v="0"/>
    <x v="1"/>
    <n v="65.998136820932601"/>
    <n v="792.59686144061698"/>
    <n v="52309.916105199598"/>
  </r>
  <r>
    <d v="2011-07-18T00:00:00"/>
    <x v="0"/>
    <x v="5"/>
    <x v="3"/>
    <n v="66.039275859733195"/>
    <n v="792.45038542111104"/>
    <n v="52332.849607976641"/>
  </r>
  <r>
    <d v="2010-06-30T00:00:00"/>
    <x v="0"/>
    <x v="0"/>
    <x v="3"/>
    <n v="66.080414898533704"/>
    <n v="792.30390940160601"/>
    <n v="52355.771058988386"/>
  </r>
  <r>
    <d v="2013-07-03T00:00:00"/>
    <x v="0"/>
    <x v="3"/>
    <x v="3"/>
    <n v="66.121553937334298"/>
    <n v="792.15743338209995"/>
    <n v="52378.68045823482"/>
  </r>
  <r>
    <d v="2014-03-03T00:00:00"/>
    <x v="0"/>
    <x v="0"/>
    <x v="3"/>
    <n v="66.162692976134906"/>
    <n v="792.01095736259401"/>
    <n v="52401.577805715984"/>
  </r>
  <r>
    <d v="2011-09-13T00:00:00"/>
    <x v="0"/>
    <x v="5"/>
    <x v="2"/>
    <n v="66.203832021935398"/>
    <n v="791.86448134308898"/>
    <n v="52424.463106974858"/>
  </r>
  <r>
    <d v="2014-10-08T00:00:00"/>
    <x v="0"/>
    <x v="4"/>
    <x v="1"/>
    <n v="66.244971053735995"/>
    <n v="791.71800532358304"/>
    <n v="52447.336345382362"/>
  </r>
  <r>
    <d v="2014-01-20T00:00:00"/>
    <x v="0"/>
    <x v="1"/>
    <x v="2"/>
    <n v="66.286110092536603"/>
    <n v="791.57152930407801"/>
    <n v="52470.197537567678"/>
  </r>
  <r>
    <d v="2012-12-22T00:00:00"/>
    <x v="0"/>
    <x v="1"/>
    <x v="2"/>
    <n v="66.327249131337098"/>
    <n v="791.42505328457196"/>
    <n v="52493.046677987542"/>
  </r>
  <r>
    <d v="2011-08-08T00:00:00"/>
    <x v="0"/>
    <x v="3"/>
    <x v="3"/>
    <n v="66.368388170137706"/>
    <n v="791.27857726506602"/>
    <n v="52515.883766642204"/>
  </r>
  <r>
    <d v="2012-12-11T00:00:00"/>
    <x v="0"/>
    <x v="5"/>
    <x v="3"/>
    <n v="66.4095272089383"/>
    <n v="791.13210124556099"/>
    <n v="52538.708803531612"/>
  </r>
  <r>
    <d v="2011-05-01T00:00:00"/>
    <x v="0"/>
    <x v="5"/>
    <x v="0"/>
    <n v="66.450666247738795"/>
    <n v="790.98562522605505"/>
    <n v="52561.521788655584"/>
  </r>
  <r>
    <d v="2011-10-14T00:00:00"/>
    <x v="0"/>
    <x v="5"/>
    <x v="2"/>
    <n v="66.491805286539403"/>
    <n v="790.839149206549"/>
    <n v="52584.322722014338"/>
  </r>
  <r>
    <d v="2012-06-29T00:00:00"/>
    <x v="0"/>
    <x v="0"/>
    <x v="0"/>
    <n v="66.532944325339997"/>
    <n v="790.69267318704397"/>
    <n v="52607.111603607853"/>
  </r>
  <r>
    <d v="2014-10-22T00:00:00"/>
    <x v="0"/>
    <x v="4"/>
    <x v="1"/>
    <n v="66.574083364140506"/>
    <n v="790.54619716753803"/>
    <n v="52629.888433435932"/>
  </r>
  <r>
    <d v="2011-07-26T00:00:00"/>
    <x v="0"/>
    <x v="5"/>
    <x v="2"/>
    <n v="66.6152224029411"/>
    <n v="790.39972114803197"/>
    <n v="52652.653211498779"/>
  </r>
  <r>
    <d v="2011-12-28T00:00:00"/>
    <x v="0"/>
    <x v="2"/>
    <x v="2"/>
    <n v="66.656361441741694"/>
    <n v="790.25324512852706"/>
    <n v="52675.4059377964"/>
  </r>
  <r>
    <d v="2012-01-31T00:00:00"/>
    <x v="0"/>
    <x v="4"/>
    <x v="2"/>
    <n v="66.697500480542203"/>
    <n v="790.106769109021"/>
    <n v="52698.146612328579"/>
  </r>
  <r>
    <d v="2010-11-23T00:00:00"/>
    <x v="0"/>
    <x v="5"/>
    <x v="2"/>
    <n v="66.738639519342797"/>
    <n v="789.96029308951495"/>
    <n v="52720.875235095518"/>
  </r>
  <r>
    <d v="2011-07-21T00:00:00"/>
    <x v="0"/>
    <x v="1"/>
    <x v="3"/>
    <n v="66.779778558143406"/>
    <n v="789.81381707001003"/>
    <n v="52743.591806097254"/>
  </r>
  <r>
    <d v="2013-07-30T00:00:00"/>
    <x v="0"/>
    <x v="1"/>
    <x v="1"/>
    <n v="66.8209175969439"/>
    <n v="789.66734105050398"/>
    <n v="52766.296325333518"/>
  </r>
  <r>
    <d v="2013-09-04T00:00:00"/>
    <x v="0"/>
    <x v="3"/>
    <x v="3"/>
    <n v="66.862056635744494"/>
    <n v="789.52086503099804"/>
    <n v="52788.988792804579"/>
  </r>
  <r>
    <d v="2014-03-10T00:00:00"/>
    <x v="0"/>
    <x v="2"/>
    <x v="2"/>
    <n v="66.903195674545103"/>
    <n v="789.37438901149301"/>
    <n v="52811.6692085104"/>
  </r>
  <r>
    <d v="2011-07-27T00:00:00"/>
    <x v="0"/>
    <x v="3"/>
    <x v="2"/>
    <n v="66.944334713345597"/>
    <n v="789.22791299198695"/>
    <n v="52834.337572450771"/>
  </r>
  <r>
    <d v="2014-05-05T00:00:00"/>
    <x v="0"/>
    <x v="1"/>
    <x v="1"/>
    <n v="66.985473752146206"/>
    <n v="789.08143697248204"/>
    <n v="52856.993884626005"/>
  </r>
  <r>
    <d v="2013-05-22T00:00:00"/>
    <x v="0"/>
    <x v="4"/>
    <x v="2"/>
    <n v="67.0266127909468"/>
    <n v="788.93496095297598"/>
    <n v="52879.638145035853"/>
  </r>
  <r>
    <d v="2011-01-01T00:00:00"/>
    <x v="0"/>
    <x v="3"/>
    <x v="2"/>
    <n v="67.067751829747294"/>
    <n v="788.78848493347004"/>
    <n v="52902.270353680331"/>
  </r>
  <r>
    <d v="2013-06-13T00:00:00"/>
    <x v="0"/>
    <x v="3"/>
    <x v="2"/>
    <n v="67.108890868547903"/>
    <n v="788.64200891396501"/>
    <n v="52924.890510559657"/>
  </r>
  <r>
    <d v="2011-12-30T00:00:00"/>
    <x v="0"/>
    <x v="3"/>
    <x v="2"/>
    <n v="67.150029907348497"/>
    <n v="788.49553289445896"/>
    <n v="52947.498615673612"/>
  </r>
  <r>
    <d v="2012-08-03T00:00:00"/>
    <x v="0"/>
    <x v="5"/>
    <x v="0"/>
    <n v="67.191168946149006"/>
    <n v="788.34905687495302"/>
    <n v="52970.094669022197"/>
  </r>
  <r>
    <d v="2010-10-23T00:00:00"/>
    <x v="0"/>
    <x v="4"/>
    <x v="1"/>
    <n v="67.2323079849496"/>
    <n v="788.20258085544799"/>
    <n v="52992.678670605615"/>
  </r>
  <r>
    <d v="2010-03-08T00:00:00"/>
    <x v="0"/>
    <x v="5"/>
    <x v="3"/>
    <n v="67.273447023750194"/>
    <n v="788.05610483594205"/>
    <n v="53015.250620423678"/>
  </r>
  <r>
    <d v="2014-01-06T00:00:00"/>
    <x v="0"/>
    <x v="1"/>
    <x v="1"/>
    <n v="67.314586062550703"/>
    <n v="787.909628816436"/>
    <n v="53037.810518476363"/>
  </r>
  <r>
    <d v="2014-05-17T00:00:00"/>
    <x v="0"/>
    <x v="1"/>
    <x v="1"/>
    <n v="67.355725101351297"/>
    <n v="787.76315279693097"/>
    <n v="53060.358364763881"/>
  </r>
  <r>
    <d v="2011-03-18T00:00:00"/>
    <x v="0"/>
    <x v="0"/>
    <x v="1"/>
    <n v="67.396864140151905"/>
    <n v="787.61667677742503"/>
    <n v="53082.89415928605"/>
  </r>
  <r>
    <d v="2012-06-30T00:00:00"/>
    <x v="0"/>
    <x v="2"/>
    <x v="3"/>
    <n v="67.4380031789524"/>
    <n v="787.47020075792"/>
    <n v="53105.417902042893"/>
  </r>
  <r>
    <d v="2012-09-25T00:00:00"/>
    <x v="0"/>
    <x v="4"/>
    <x v="0"/>
    <n v="67.479142217752994"/>
    <n v="787.32372473841394"/>
    <n v="53127.929593034445"/>
  </r>
  <r>
    <d v="2011-02-13T00:00:00"/>
    <x v="0"/>
    <x v="2"/>
    <x v="2"/>
    <n v="67.520281256553602"/>
    <n v="787.177248718908"/>
    <n v="53150.429232260714"/>
  </r>
  <r>
    <d v="2011-09-24T00:00:00"/>
    <x v="0"/>
    <x v="0"/>
    <x v="3"/>
    <n v="67.561420295354097"/>
    <n v="787.03077269940297"/>
    <n v="53172.916819721664"/>
  </r>
  <r>
    <d v="2014-08-26T00:00:00"/>
    <x v="0"/>
    <x v="0"/>
    <x v="1"/>
    <n v="67.602559334154705"/>
    <n v="786.88429667989703"/>
    <n v="53195.392355417331"/>
  </r>
  <r>
    <d v="2010-03-18T00:00:00"/>
    <x v="0"/>
    <x v="4"/>
    <x v="2"/>
    <n v="67.643698372955299"/>
    <n v="786.73782066039098"/>
    <n v="53217.855839347685"/>
  </r>
  <r>
    <d v="2014-09-25T00:00:00"/>
    <x v="0"/>
    <x v="1"/>
    <x v="2"/>
    <n v="67.684837411755794"/>
    <n v="786.59134464088595"/>
    <n v="53240.307271512735"/>
  </r>
  <r>
    <d v="2011-01-22T00:00:00"/>
    <x v="0"/>
    <x v="4"/>
    <x v="3"/>
    <n v="67.725976450556402"/>
    <n v="786.44486862138001"/>
    <n v="53262.746651912508"/>
  </r>
  <r>
    <d v="2011-02-07T00:00:00"/>
    <x v="0"/>
    <x v="1"/>
    <x v="3"/>
    <n v="67.767115489356996"/>
    <n v="786.29839260187396"/>
    <n v="53285.173980546962"/>
  </r>
  <r>
    <d v="2014-10-06T00:00:00"/>
    <x v="0"/>
    <x v="5"/>
    <x v="1"/>
    <n v="67.808254528157505"/>
    <n v="786.15191658236904"/>
    <n v="53307.589257416126"/>
  </r>
  <r>
    <d v="2012-02-29T00:00:00"/>
    <x v="0"/>
    <x v="3"/>
    <x v="3"/>
    <n v="67.849393566958099"/>
    <n v="786.00544056286299"/>
    <n v="53329.992482519985"/>
  </r>
  <r>
    <d v="2010-04-06T00:00:00"/>
    <x v="1"/>
    <x v="3"/>
    <x v="1"/>
    <n v="67.890532605758693"/>
    <n v="785.85896454335796"/>
    <n v="53352.383655858612"/>
  </r>
  <r>
    <d v="2012-11-23T00:00:00"/>
    <x v="1"/>
    <x v="2"/>
    <x v="1"/>
    <n v="67.931671644559202"/>
    <n v="785.71248852385202"/>
    <n v="53374.762777431803"/>
  </r>
  <r>
    <d v="2011-08-25T00:00:00"/>
    <x v="1"/>
    <x v="3"/>
    <x v="2"/>
    <n v="67.972810683359796"/>
    <n v="785.56601250434596"/>
    <n v="53397.129847239761"/>
  </r>
  <r>
    <d v="2014-10-22T00:00:00"/>
    <x v="1"/>
    <x v="0"/>
    <x v="3"/>
    <n v="68.013949722160405"/>
    <n v="785.41953648484105"/>
    <n v="53419.484865282509"/>
  </r>
  <r>
    <d v="2010-10-21T00:00:00"/>
    <x v="1"/>
    <x v="4"/>
    <x v="3"/>
    <n v="68.055088760960899"/>
    <n v="785.27306046533499"/>
    <n v="53441.827831559785"/>
  </r>
  <r>
    <d v="2011-10-29T00:00:00"/>
    <x v="1"/>
    <x v="0"/>
    <x v="4"/>
    <n v="68.096227799761493"/>
    <n v="785.12658444582905"/>
    <n v="53464.158746071851"/>
  </r>
  <r>
    <d v="2010-04-05T00:00:00"/>
    <x v="1"/>
    <x v="0"/>
    <x v="0"/>
    <n v="68.137366838562102"/>
    <n v="784.98010842632402"/>
    <n v="53486.477608818692"/>
  </r>
  <r>
    <d v="2014-02-13T00:00:00"/>
    <x v="1"/>
    <x v="4"/>
    <x v="4"/>
    <n v="68.178505877362596"/>
    <n v="784.83363240681797"/>
    <n v="53508.784419800075"/>
  </r>
  <r>
    <d v="2010-06-05T00:00:00"/>
    <x v="1"/>
    <x v="4"/>
    <x v="3"/>
    <n v="68.219644916163205"/>
    <n v="784.68715638731203"/>
    <n v="53531.079179016255"/>
  </r>
  <r>
    <d v="2010-01-16T00:00:00"/>
    <x v="1"/>
    <x v="1"/>
    <x v="3"/>
    <n v="68.260783954963799"/>
    <n v="784.540680367807"/>
    <n v="53553.361886467181"/>
  </r>
  <r>
    <d v="2014-03-31T00:00:00"/>
    <x v="1"/>
    <x v="3"/>
    <x v="0"/>
    <n v="68.301922993764293"/>
    <n v="784.39420434830095"/>
    <n v="53575.632542152664"/>
  </r>
  <r>
    <d v="2011-04-07T00:00:00"/>
    <x v="1"/>
    <x v="3"/>
    <x v="1"/>
    <n v="68.343062032564902"/>
    <n v="784.24772832879501"/>
    <n v="53597.891146072943"/>
  </r>
  <r>
    <d v="2010-02-08T00:00:00"/>
    <x v="1"/>
    <x v="2"/>
    <x v="3"/>
    <n v="68.384201771365497"/>
    <n v="784.10125230928998"/>
    <n v="53620.138247098854"/>
  </r>
  <r>
    <d v="2011-05-11T00:00:00"/>
    <x v="1"/>
    <x v="1"/>
    <x v="1"/>
    <n v="68.425340110166005"/>
    <n v="783.95477628978404"/>
    <n v="53642.372198617573"/>
  </r>
  <r>
    <d v="2011-03-16T00:00:00"/>
    <x v="1"/>
    <x v="5"/>
    <x v="3"/>
    <n v="68.466479148966599"/>
    <n v="783.80830027027901"/>
    <n v="53664.594647242011"/>
  </r>
  <r>
    <d v="2010-03-21T00:00:00"/>
    <x v="1"/>
    <x v="0"/>
    <x v="2"/>
    <n v="68.507618187767207"/>
    <n v="783.66182425077295"/>
    <n v="53686.805044101078"/>
  </r>
  <r>
    <d v="2010-07-02T00:00:00"/>
    <x v="1"/>
    <x v="0"/>
    <x v="3"/>
    <n v="68.548757226567702"/>
    <n v="783.51534823126701"/>
    <n v="53709.003389194775"/>
  </r>
  <r>
    <d v="2010-12-13T00:00:00"/>
    <x v="1"/>
    <x v="4"/>
    <x v="4"/>
    <n v="68.589896265368296"/>
    <n v="783.36887221176198"/>
    <n v="53731.189682523305"/>
  </r>
  <r>
    <d v="2014-11-10T00:00:00"/>
    <x v="1"/>
    <x v="0"/>
    <x v="3"/>
    <n v="68.631035304168904"/>
    <n v="783.22239619225604"/>
    <n v="53753.363924086487"/>
  </r>
  <r>
    <d v="2011-12-19T00:00:00"/>
    <x v="1"/>
    <x v="5"/>
    <x v="2"/>
    <n v="68.672174342969399"/>
    <n v="783.07592017274999"/>
    <n v="53775.526113884276"/>
  </r>
  <r>
    <d v="2010-06-15T00:00:00"/>
    <x v="1"/>
    <x v="4"/>
    <x v="1"/>
    <n v="68.713313381770007"/>
    <n v="782.92944415324496"/>
    <n v="53797.676251916921"/>
  </r>
  <r>
    <d v="2012-10-14T00:00:00"/>
    <x v="1"/>
    <x v="4"/>
    <x v="2"/>
    <n v="68.754452420570601"/>
    <n v="782.78296813373902"/>
    <n v="53819.814338184195"/>
  </r>
  <r>
    <d v="2011-10-27T00:00:00"/>
    <x v="5"/>
    <x v="3"/>
    <x v="3"/>
    <n v="76"/>
    <n v="820"/>
    <n v="62320"/>
  </r>
  <r>
    <d v="2012-04-13T00:00:00"/>
    <x v="5"/>
    <x v="0"/>
    <x v="3"/>
    <n v="16"/>
    <n v="820"/>
    <n v="13120"/>
  </r>
  <r>
    <d v="2010-10-10T00:00:00"/>
    <x v="5"/>
    <x v="2"/>
    <x v="2"/>
    <n v="5"/>
    <n v="800"/>
    <n v="4000"/>
  </r>
  <r>
    <d v="2014-10-01T00:00:00"/>
    <x v="5"/>
    <x v="3"/>
    <x v="2"/>
    <n v="45"/>
    <n v="800"/>
    <n v="36000"/>
  </r>
  <r>
    <d v="2011-08-19T00:00:00"/>
    <x v="5"/>
    <x v="3"/>
    <x v="3"/>
    <n v="6"/>
    <n v="820"/>
    <n v="4920"/>
  </r>
  <r>
    <d v="2012-05-31T00:00:00"/>
    <x v="5"/>
    <x v="2"/>
    <x v="1"/>
    <n v="34"/>
    <n v="1200"/>
    <n v="40800"/>
  </r>
  <r>
    <d v="2012-11-12T00:00:00"/>
    <x v="5"/>
    <x v="2"/>
    <x v="4"/>
    <n v="37"/>
    <n v="450"/>
    <n v="16650"/>
  </r>
  <r>
    <d v="2010-03-17T00:00:00"/>
    <x v="5"/>
    <x v="3"/>
    <x v="1"/>
    <n v="14"/>
    <n v="1200"/>
    <n v="16800"/>
  </r>
  <r>
    <d v="2012-03-10T00:00:00"/>
    <x v="5"/>
    <x v="2"/>
    <x v="3"/>
    <n v="2"/>
    <n v="950"/>
    <n v="1900"/>
  </r>
  <r>
    <d v="2012-12-22T00:00:00"/>
    <x v="5"/>
    <x v="4"/>
    <x v="4"/>
    <n v="20"/>
    <n v="450"/>
    <n v="9000"/>
  </r>
  <r>
    <d v="2014-02-10T00:00:00"/>
    <x v="5"/>
    <x v="0"/>
    <x v="3"/>
    <n v="9"/>
    <n v="950"/>
    <n v="8550"/>
  </r>
  <r>
    <d v="2013-07-04T00:00:00"/>
    <x v="5"/>
    <x v="1"/>
    <x v="2"/>
    <n v="34"/>
    <n v="800"/>
    <n v="27200"/>
  </r>
  <r>
    <d v="2013-07-29T00:00:00"/>
    <x v="5"/>
    <x v="3"/>
    <x v="3"/>
    <n v="8"/>
    <n v="820"/>
    <n v="6560"/>
  </r>
  <r>
    <d v="2011-06-08T00:00:00"/>
    <x v="5"/>
    <x v="0"/>
    <x v="1"/>
    <n v="15"/>
    <n v="1200"/>
    <n v="18000"/>
  </r>
  <r>
    <d v="2014-03-23T00:00:00"/>
    <x v="5"/>
    <x v="2"/>
    <x v="2"/>
    <n v="19"/>
    <n v="800"/>
    <n v="15200"/>
  </r>
  <r>
    <d v="2011-06-30T00:00:00"/>
    <x v="5"/>
    <x v="0"/>
    <x v="3"/>
    <n v="18"/>
    <n v="820"/>
    <n v="14760"/>
  </r>
  <r>
    <d v="2013-12-27T00:00:00"/>
    <x v="5"/>
    <x v="5"/>
    <x v="2"/>
    <n v="33"/>
    <n v="800"/>
    <n v="26400"/>
  </r>
  <r>
    <d v="2014-07-15T00:00:00"/>
    <x v="5"/>
    <x v="5"/>
    <x v="3"/>
    <n v="60"/>
    <n v="950"/>
    <n v="57000"/>
  </r>
  <r>
    <d v="2011-11-17T00:00:00"/>
    <x v="5"/>
    <x v="2"/>
    <x v="3"/>
    <n v="4"/>
    <n v="820"/>
    <n v="3280"/>
  </r>
  <r>
    <d v="2010-12-02T00:00:00"/>
    <x v="5"/>
    <x v="5"/>
    <x v="3"/>
    <n v="75"/>
    <n v="950"/>
    <n v="71250"/>
  </r>
  <r>
    <d v="2014-07-31T00:00:00"/>
    <x v="5"/>
    <x v="1"/>
    <x v="2"/>
    <n v="18"/>
    <n v="800"/>
    <n v="14400"/>
  </r>
  <r>
    <d v="2013-06-12T00:00:00"/>
    <x v="5"/>
    <x v="0"/>
    <x v="1"/>
    <n v="138"/>
    <n v="1200"/>
    <n v="165600"/>
  </r>
  <r>
    <d v="2010-07-21T00:00:00"/>
    <x v="5"/>
    <x v="0"/>
    <x v="1"/>
    <n v="8"/>
    <n v="1200"/>
    <n v="9600"/>
  </r>
  <r>
    <d v="2012-03-15T00:00:00"/>
    <x v="5"/>
    <x v="4"/>
    <x v="1"/>
    <n v="102"/>
    <n v="1200"/>
    <n v="122400"/>
  </r>
  <r>
    <d v="2011-04-15T00:00:00"/>
    <x v="5"/>
    <x v="3"/>
    <x v="4"/>
    <n v="17"/>
    <n v="450"/>
    <n v="7650"/>
  </r>
  <r>
    <d v="2011-06-11T00:00:00"/>
    <x v="5"/>
    <x v="0"/>
    <x v="4"/>
    <n v="39"/>
    <n v="450"/>
    <n v="17550"/>
  </r>
  <r>
    <d v="2010-06-02T00:00:00"/>
    <x v="5"/>
    <x v="3"/>
    <x v="2"/>
    <n v="97"/>
    <n v="800"/>
    <n v="77600"/>
  </r>
  <r>
    <d v="2011-08-28T00:00:00"/>
    <x v="5"/>
    <x v="3"/>
    <x v="0"/>
    <n v="72"/>
    <n v="650"/>
    <n v="46800"/>
  </r>
  <r>
    <d v="2014-01-09T00:00:00"/>
    <x v="5"/>
    <x v="1"/>
    <x v="0"/>
    <n v="12"/>
    <n v="650"/>
    <n v="7800"/>
  </r>
  <r>
    <d v="2012-03-12T00:00:00"/>
    <x v="5"/>
    <x v="0"/>
    <x v="4"/>
    <n v="28"/>
    <n v="450"/>
    <n v="12600"/>
  </r>
  <r>
    <d v="2010-01-24T00:00:00"/>
    <x v="5"/>
    <x v="3"/>
    <x v="1"/>
    <n v="26"/>
    <n v="1200"/>
    <n v="31200"/>
  </r>
  <r>
    <d v="2010-03-27T00:00:00"/>
    <x v="5"/>
    <x v="5"/>
    <x v="1"/>
    <n v="126"/>
    <n v="1200"/>
    <n v="151200"/>
  </r>
  <r>
    <d v="2014-01-07T00:00:00"/>
    <x v="5"/>
    <x v="4"/>
    <x v="2"/>
    <n v="67"/>
    <n v="800"/>
    <n v="53600"/>
  </r>
  <r>
    <d v="2011-05-05T00:00:00"/>
    <x v="5"/>
    <x v="5"/>
    <x v="0"/>
    <n v="138"/>
    <n v="650"/>
    <n v="89700"/>
  </r>
  <r>
    <d v="2012-02-02T00:00:00"/>
    <x v="5"/>
    <x v="5"/>
    <x v="3"/>
    <n v="115"/>
    <n v="820"/>
    <n v="94300"/>
  </r>
  <r>
    <d v="2013-02-16T00:00:00"/>
    <x v="5"/>
    <x v="5"/>
    <x v="1"/>
    <n v="70"/>
    <n v="1200"/>
    <n v="84000"/>
  </r>
  <r>
    <d v="2012-10-09T00:00:00"/>
    <x v="5"/>
    <x v="1"/>
    <x v="2"/>
    <n v="51"/>
    <n v="800"/>
    <n v="40800"/>
  </r>
  <r>
    <d v="2011-08-26T00:00:00"/>
    <x v="5"/>
    <x v="2"/>
    <x v="0"/>
    <n v="18"/>
    <n v="650"/>
    <n v="11700"/>
  </r>
  <r>
    <d v="2013-10-02T00:00:00"/>
    <x v="5"/>
    <x v="5"/>
    <x v="2"/>
    <n v="18"/>
    <n v="800"/>
    <n v="14400"/>
  </r>
  <r>
    <d v="2012-09-05T00:00:00"/>
    <x v="5"/>
    <x v="5"/>
    <x v="2"/>
    <n v="171"/>
    <n v="800"/>
    <n v="136800"/>
  </r>
  <r>
    <d v="2013-12-26T00:00:00"/>
    <x v="5"/>
    <x v="4"/>
    <x v="3"/>
    <n v="88"/>
    <n v="950"/>
    <n v="83600"/>
  </r>
  <r>
    <d v="2010-08-02T00:00:00"/>
    <x v="5"/>
    <x v="1"/>
    <x v="4"/>
    <n v="98"/>
    <n v="450"/>
    <n v="44100"/>
  </r>
  <r>
    <d v="2014-12-29T00:00:00"/>
    <x v="5"/>
    <x v="4"/>
    <x v="2"/>
    <n v="29"/>
    <n v="800"/>
    <n v="23200"/>
  </r>
  <r>
    <d v="2011-05-12T00:00:00"/>
    <x v="5"/>
    <x v="5"/>
    <x v="1"/>
    <n v="67"/>
    <n v="1200"/>
    <n v="80400"/>
  </r>
  <r>
    <d v="2013-04-29T00:00:00"/>
    <x v="5"/>
    <x v="5"/>
    <x v="2"/>
    <n v="63"/>
    <n v="800"/>
    <n v="50400"/>
  </r>
  <r>
    <d v="2012-05-12T00:00:00"/>
    <x v="5"/>
    <x v="1"/>
    <x v="2"/>
    <n v="83"/>
    <n v="800"/>
    <n v="66400"/>
  </r>
  <r>
    <d v="2011-04-11T00:00:00"/>
    <x v="5"/>
    <x v="4"/>
    <x v="3"/>
    <n v="51"/>
    <n v="820"/>
    <n v="41820"/>
  </r>
  <r>
    <d v="2014-02-04T00:00:00"/>
    <x v="5"/>
    <x v="4"/>
    <x v="4"/>
    <n v="273"/>
    <n v="450"/>
    <n v="122850"/>
  </r>
  <r>
    <d v="2013-12-09T00:00:00"/>
    <x v="5"/>
    <x v="2"/>
    <x v="1"/>
    <n v="23"/>
    <n v="1200"/>
    <n v="27600"/>
  </r>
  <r>
    <d v="2012-10-27T00:00:00"/>
    <x v="5"/>
    <x v="2"/>
    <x v="0"/>
    <n v="31"/>
    <n v="650"/>
    <n v="20150"/>
  </r>
  <r>
    <d v="2011-09-03T00:00:00"/>
    <x v="5"/>
    <x v="5"/>
    <x v="2"/>
    <n v="12"/>
    <n v="800"/>
    <n v="9600"/>
  </r>
  <r>
    <d v="2011-09-12T00:00:00"/>
    <x v="5"/>
    <x v="1"/>
    <x v="3"/>
    <n v="11"/>
    <n v="820"/>
    <n v="9020"/>
  </r>
  <r>
    <d v="2012-03-02T00:00:00"/>
    <x v="5"/>
    <x v="5"/>
    <x v="3"/>
    <n v="39"/>
    <n v="820"/>
    <n v="31980"/>
  </r>
  <r>
    <d v="2014-09-09T00:00:00"/>
    <x v="5"/>
    <x v="5"/>
    <x v="4"/>
    <n v="74"/>
    <n v="450"/>
    <n v="33300"/>
  </r>
  <r>
    <d v="2013-06-07T00:00:00"/>
    <x v="5"/>
    <x v="0"/>
    <x v="3"/>
    <n v="109"/>
    <n v="820"/>
    <n v="89380"/>
  </r>
  <r>
    <d v="2011-10-11T00:00:00"/>
    <x v="5"/>
    <x v="2"/>
    <x v="1"/>
    <n v="24"/>
    <n v="1200"/>
    <n v="28800"/>
  </r>
  <r>
    <d v="2014-09-27T00:00:00"/>
    <x v="5"/>
    <x v="4"/>
    <x v="2"/>
    <n v="66"/>
    <n v="800"/>
    <n v="52800"/>
  </r>
  <r>
    <d v="2010-04-22T00:00:00"/>
    <x v="5"/>
    <x v="0"/>
    <x v="3"/>
    <n v="36"/>
    <n v="820"/>
    <n v="29520"/>
  </r>
  <r>
    <d v="2014-08-07T00:00:00"/>
    <x v="5"/>
    <x v="4"/>
    <x v="0"/>
    <n v="33"/>
    <n v="650"/>
    <n v="21450"/>
  </r>
  <r>
    <d v="2010-01-03T00:00:00"/>
    <x v="5"/>
    <x v="1"/>
    <x v="3"/>
    <n v="3"/>
    <n v="820"/>
    <n v="2460"/>
  </r>
  <r>
    <d v="2013-08-18T00:00:00"/>
    <x v="5"/>
    <x v="4"/>
    <x v="2"/>
    <n v="140"/>
    <n v="800"/>
    <n v="112000"/>
  </r>
  <r>
    <d v="2012-10-05T00:00:00"/>
    <x v="5"/>
    <x v="1"/>
    <x v="1"/>
    <n v="1"/>
    <n v="1200"/>
    <n v="1200"/>
  </r>
  <r>
    <d v="2014-11-21T00:00:00"/>
    <x v="5"/>
    <x v="3"/>
    <x v="3"/>
    <n v="13"/>
    <n v="820"/>
    <n v="10660"/>
  </r>
  <r>
    <d v="2010-07-06T00:00:00"/>
    <x v="5"/>
    <x v="4"/>
    <x v="4"/>
    <n v="130"/>
    <n v="450"/>
    <n v="58500"/>
  </r>
  <r>
    <d v="2012-09-28T00:00:00"/>
    <x v="5"/>
    <x v="0"/>
    <x v="3"/>
    <n v="76"/>
    <n v="820"/>
    <n v="62320"/>
  </r>
  <r>
    <d v="2010-04-19T00:00:00"/>
    <x v="5"/>
    <x v="0"/>
    <x v="3"/>
    <n v="15"/>
    <n v="820"/>
    <n v="12300"/>
  </r>
  <r>
    <d v="2014-04-23T00:00:00"/>
    <x v="5"/>
    <x v="3"/>
    <x v="3"/>
    <n v="40"/>
    <n v="950"/>
    <n v="38000"/>
  </r>
  <r>
    <d v="2013-09-23T00:00:00"/>
    <x v="5"/>
    <x v="3"/>
    <x v="3"/>
    <n v="48"/>
    <n v="820"/>
    <n v="39360"/>
  </r>
  <r>
    <d v="2010-04-08T00:00:00"/>
    <x v="5"/>
    <x v="4"/>
    <x v="3"/>
    <n v="295"/>
    <n v="820"/>
    <n v="241900"/>
  </r>
  <r>
    <d v="2010-06-09T00:00:00"/>
    <x v="5"/>
    <x v="1"/>
    <x v="1"/>
    <n v="86"/>
    <n v="1200"/>
    <n v="103200"/>
  </r>
  <r>
    <d v="2012-10-14T00:00:00"/>
    <x v="5"/>
    <x v="2"/>
    <x v="3"/>
    <n v="1"/>
    <n v="820"/>
    <n v="820"/>
  </r>
  <r>
    <d v="2010-03-29T00:00:00"/>
    <x v="6"/>
    <x v="4"/>
    <x v="3"/>
    <n v="24"/>
    <n v="950"/>
    <n v="22800"/>
  </r>
  <r>
    <d v="2010-10-03T00:00:00"/>
    <x v="6"/>
    <x v="2"/>
    <x v="4"/>
    <n v="18"/>
    <n v="450"/>
    <n v="8100"/>
  </r>
  <r>
    <d v="2010-06-22T00:00:00"/>
    <x v="6"/>
    <x v="2"/>
    <x v="2"/>
    <n v="19"/>
    <n v="800"/>
    <n v="15200"/>
  </r>
  <r>
    <d v="2013-02-09T00:00:00"/>
    <x v="6"/>
    <x v="3"/>
    <x v="3"/>
    <n v="27"/>
    <n v="820"/>
    <n v="22140"/>
  </r>
  <r>
    <d v="2014-07-27T00:00:00"/>
    <x v="6"/>
    <x v="0"/>
    <x v="0"/>
    <n v="3"/>
    <n v="650"/>
    <n v="1950"/>
  </r>
  <r>
    <d v="2010-04-02T00:00:00"/>
    <x v="6"/>
    <x v="4"/>
    <x v="3"/>
    <n v="20"/>
    <n v="820"/>
    <n v="16400"/>
  </r>
  <r>
    <d v="2010-01-05T00:00:00"/>
    <x v="6"/>
    <x v="3"/>
    <x v="2"/>
    <n v="154"/>
    <n v="800"/>
    <n v="123200"/>
  </r>
  <r>
    <d v="2012-03-21T00:00:00"/>
    <x v="6"/>
    <x v="5"/>
    <x v="2"/>
    <n v="4"/>
    <n v="800"/>
    <n v="3200"/>
  </r>
  <r>
    <d v="2010-04-09T00:00:00"/>
    <x v="6"/>
    <x v="2"/>
    <x v="2"/>
    <n v="5"/>
    <n v="800"/>
    <n v="4000"/>
  </r>
  <r>
    <d v="2011-10-11T00:00:00"/>
    <x v="6"/>
    <x v="1"/>
    <x v="4"/>
    <n v="92"/>
    <n v="450"/>
    <n v="41400"/>
  </r>
  <r>
    <d v="2010-10-06T00:00:00"/>
    <x v="6"/>
    <x v="1"/>
    <x v="0"/>
    <n v="3"/>
    <n v="650"/>
    <n v="1950"/>
  </r>
  <r>
    <d v="2014-01-16T00:00:00"/>
    <x v="6"/>
    <x v="3"/>
    <x v="1"/>
    <n v="13"/>
    <n v="1200"/>
    <n v="15600"/>
  </r>
  <r>
    <d v="2013-02-04T00:00:00"/>
    <x v="6"/>
    <x v="4"/>
    <x v="3"/>
    <n v="236"/>
    <n v="950"/>
    <n v="224200"/>
  </r>
  <r>
    <d v="2014-05-30T00:00:00"/>
    <x v="6"/>
    <x v="2"/>
    <x v="2"/>
    <n v="6"/>
    <n v="800"/>
    <n v="4800"/>
  </r>
  <r>
    <d v="2010-07-22T00:00:00"/>
    <x v="6"/>
    <x v="5"/>
    <x v="3"/>
    <n v="6"/>
    <n v="950"/>
    <n v="5700"/>
  </r>
  <r>
    <d v="2011-06-03T00:00:00"/>
    <x v="6"/>
    <x v="2"/>
    <x v="0"/>
    <n v="18"/>
    <n v="650"/>
    <n v="11700"/>
  </r>
  <r>
    <d v="2014-05-21T00:00:00"/>
    <x v="6"/>
    <x v="1"/>
    <x v="3"/>
    <n v="56"/>
    <n v="950"/>
    <n v="53200"/>
  </r>
  <r>
    <d v="2010-03-01T00:00:00"/>
    <x v="6"/>
    <x v="2"/>
    <x v="4"/>
    <n v="1"/>
    <n v="450"/>
    <n v="450"/>
  </r>
  <r>
    <d v="2013-07-22T00:00:00"/>
    <x v="6"/>
    <x v="1"/>
    <x v="4"/>
    <n v="11"/>
    <n v="450"/>
    <n v="4950"/>
  </r>
  <r>
    <d v="2011-06-01T00:00:00"/>
    <x v="6"/>
    <x v="2"/>
    <x v="4"/>
    <n v="1"/>
    <n v="450"/>
    <n v="450"/>
  </r>
  <r>
    <d v="2011-09-07T00:00:00"/>
    <x v="6"/>
    <x v="4"/>
    <x v="2"/>
    <n v="139"/>
    <n v="800"/>
    <n v="111200"/>
  </r>
  <r>
    <d v="2012-07-20T00:00:00"/>
    <x v="6"/>
    <x v="0"/>
    <x v="1"/>
    <n v="81"/>
    <n v="1200"/>
    <n v="97200"/>
  </r>
  <r>
    <d v="2014-11-24T00:00:00"/>
    <x v="6"/>
    <x v="1"/>
    <x v="3"/>
    <n v="2"/>
    <n v="950"/>
    <n v="1900"/>
  </r>
  <r>
    <d v="2010-11-29T00:00:00"/>
    <x v="6"/>
    <x v="3"/>
    <x v="2"/>
    <n v="32"/>
    <n v="800"/>
    <n v="25600"/>
  </r>
  <r>
    <d v="2011-09-06T00:00:00"/>
    <x v="6"/>
    <x v="3"/>
    <x v="1"/>
    <n v="166"/>
    <n v="1200"/>
    <n v="199200"/>
  </r>
  <r>
    <d v="2010-05-04T00:00:00"/>
    <x v="6"/>
    <x v="1"/>
    <x v="3"/>
    <n v="5"/>
    <n v="820"/>
    <n v="4100"/>
  </r>
  <r>
    <d v="2011-02-25T00:00:00"/>
    <x v="6"/>
    <x v="3"/>
    <x v="3"/>
    <n v="65"/>
    <n v="820"/>
    <n v="53300"/>
  </r>
  <r>
    <d v="2013-12-04T00:00:00"/>
    <x v="6"/>
    <x v="0"/>
    <x v="2"/>
    <n v="40"/>
    <n v="800"/>
    <n v="32000"/>
  </r>
  <r>
    <d v="2014-08-24T00:00:00"/>
    <x v="6"/>
    <x v="2"/>
    <x v="3"/>
    <n v="14"/>
    <n v="820"/>
    <n v="11480"/>
  </r>
  <r>
    <d v="2014-05-12T00:00:00"/>
    <x v="6"/>
    <x v="0"/>
    <x v="2"/>
    <n v="67"/>
    <n v="800"/>
    <n v="53600"/>
  </r>
  <r>
    <d v="2014-01-26T00:00:00"/>
    <x v="6"/>
    <x v="2"/>
    <x v="3"/>
    <n v="25"/>
    <n v="820"/>
    <n v="20500"/>
  </r>
  <r>
    <d v="2012-10-20T00:00:00"/>
    <x v="6"/>
    <x v="1"/>
    <x v="1"/>
    <n v="5"/>
    <n v="1200"/>
    <n v="6000"/>
  </r>
  <r>
    <d v="2011-03-26T00:00:00"/>
    <x v="6"/>
    <x v="5"/>
    <x v="3"/>
    <n v="132"/>
    <n v="950"/>
    <n v="125400"/>
  </r>
  <r>
    <d v="2014-09-21T00:00:00"/>
    <x v="6"/>
    <x v="2"/>
    <x v="0"/>
    <n v="5"/>
    <n v="650"/>
    <n v="3250"/>
  </r>
  <r>
    <d v="2013-11-08T00:00:00"/>
    <x v="6"/>
    <x v="4"/>
    <x v="3"/>
    <n v="31"/>
    <n v="820"/>
    <n v="25420"/>
  </r>
  <r>
    <d v="2011-06-29T00:00:00"/>
    <x v="6"/>
    <x v="2"/>
    <x v="2"/>
    <n v="4"/>
    <n v="800"/>
    <n v="3200"/>
  </r>
  <r>
    <d v="2012-03-05T00:00:00"/>
    <x v="6"/>
    <x v="3"/>
    <x v="4"/>
    <n v="128"/>
    <n v="450"/>
    <n v="57600"/>
  </r>
  <r>
    <d v="2012-11-21T00:00:00"/>
    <x v="6"/>
    <x v="0"/>
    <x v="3"/>
    <n v="33"/>
    <n v="950"/>
    <n v="31350"/>
  </r>
  <r>
    <d v="2011-05-14T00:00:00"/>
    <x v="6"/>
    <x v="3"/>
    <x v="1"/>
    <n v="4"/>
    <n v="1200"/>
    <n v="4800"/>
  </r>
  <r>
    <d v="2010-10-05T00:00:00"/>
    <x v="6"/>
    <x v="5"/>
    <x v="0"/>
    <n v="145"/>
    <n v="650"/>
    <n v="94250"/>
  </r>
  <r>
    <d v="2010-10-20T00:00:00"/>
    <x v="6"/>
    <x v="3"/>
    <x v="1"/>
    <n v="73"/>
    <n v="1200"/>
    <n v="87600"/>
  </r>
  <r>
    <d v="2010-09-05T00:00:00"/>
    <x v="6"/>
    <x v="5"/>
    <x v="2"/>
    <n v="6"/>
    <n v="800"/>
    <n v="4800"/>
  </r>
  <r>
    <d v="2014-12-22T00:00:00"/>
    <x v="6"/>
    <x v="1"/>
    <x v="1"/>
    <n v="48"/>
    <n v="1200"/>
    <n v="57600"/>
  </r>
  <r>
    <d v="2012-07-22T00:00:00"/>
    <x v="6"/>
    <x v="2"/>
    <x v="3"/>
    <n v="1"/>
    <n v="820"/>
    <n v="820"/>
  </r>
  <r>
    <d v="2014-05-26T00:00:00"/>
    <x v="6"/>
    <x v="4"/>
    <x v="2"/>
    <n v="45"/>
    <n v="800"/>
    <n v="36000"/>
  </r>
  <r>
    <d v="2014-04-28T00:00:00"/>
    <x v="6"/>
    <x v="2"/>
    <x v="3"/>
    <n v="13"/>
    <n v="820"/>
    <n v="10660"/>
  </r>
  <r>
    <d v="2012-02-18T00:00:00"/>
    <x v="6"/>
    <x v="2"/>
    <x v="3"/>
    <n v="37"/>
    <n v="950"/>
    <n v="35150"/>
  </r>
  <r>
    <d v="2010-03-10T00:00:00"/>
    <x v="6"/>
    <x v="2"/>
    <x v="4"/>
    <n v="39"/>
    <n v="450"/>
    <n v="17550"/>
  </r>
  <r>
    <d v="2013-01-02T00:00:00"/>
    <x v="6"/>
    <x v="3"/>
    <x v="2"/>
    <n v="51"/>
    <n v="800"/>
    <n v="40800"/>
  </r>
  <r>
    <d v="2011-10-28T00:00:00"/>
    <x v="6"/>
    <x v="1"/>
    <x v="3"/>
    <n v="13"/>
    <n v="820"/>
    <n v="10660"/>
  </r>
  <r>
    <d v="2014-04-22T00:00:00"/>
    <x v="6"/>
    <x v="1"/>
    <x v="2"/>
    <n v="17"/>
    <n v="800"/>
    <n v="13600"/>
  </r>
  <r>
    <d v="2013-09-19T00:00:00"/>
    <x v="6"/>
    <x v="5"/>
    <x v="2"/>
    <n v="20"/>
    <n v="800"/>
    <n v="16000"/>
  </r>
  <r>
    <d v="2011-12-31T00:00:00"/>
    <x v="6"/>
    <x v="4"/>
    <x v="3"/>
    <n v="23"/>
    <n v="820"/>
    <n v="18860"/>
  </r>
  <r>
    <d v="2010-06-07T00:00:00"/>
    <x v="6"/>
    <x v="3"/>
    <x v="2"/>
    <n v="54"/>
    <n v="800"/>
    <n v="43200"/>
  </r>
  <r>
    <d v="2013-03-17T00:00:00"/>
    <x v="6"/>
    <x v="4"/>
    <x v="3"/>
    <n v="4"/>
    <n v="950"/>
    <n v="3800"/>
  </r>
  <r>
    <d v="2013-10-15T00:00:00"/>
    <x v="6"/>
    <x v="0"/>
    <x v="3"/>
    <n v="3"/>
    <n v="820"/>
    <n v="2460"/>
  </r>
  <r>
    <d v="2010-09-13T00:00:00"/>
    <x v="6"/>
    <x v="4"/>
    <x v="2"/>
    <n v="197"/>
    <n v="800"/>
    <n v="157600"/>
  </r>
  <r>
    <d v="2010-11-17T00:00:00"/>
    <x v="6"/>
    <x v="5"/>
    <x v="3"/>
    <n v="18"/>
    <n v="950"/>
    <n v="17100"/>
  </r>
  <r>
    <d v="2010-08-31T00:00:00"/>
    <x v="6"/>
    <x v="5"/>
    <x v="2"/>
    <n v="12"/>
    <n v="800"/>
    <n v="9600"/>
  </r>
  <r>
    <d v="2013-10-16T00:00:00"/>
    <x v="6"/>
    <x v="2"/>
    <x v="2"/>
    <n v="17"/>
    <n v="800"/>
    <n v="13600"/>
  </r>
  <r>
    <d v="2011-02-02T00:00:00"/>
    <x v="6"/>
    <x v="5"/>
    <x v="1"/>
    <n v="53"/>
    <n v="1200"/>
    <n v="63600"/>
  </r>
  <r>
    <d v="2014-11-24T00:00:00"/>
    <x v="6"/>
    <x v="1"/>
    <x v="3"/>
    <n v="1"/>
    <n v="820"/>
    <n v="820"/>
  </r>
  <r>
    <d v="2010-12-28T00:00:00"/>
    <x v="6"/>
    <x v="1"/>
    <x v="4"/>
    <n v="9"/>
    <n v="450"/>
    <n v="4050"/>
  </r>
  <r>
    <d v="2010-11-29T00:00:00"/>
    <x v="6"/>
    <x v="5"/>
    <x v="0"/>
    <n v="249"/>
    <n v="650"/>
    <n v="161850"/>
  </r>
  <r>
    <d v="2014-09-11T00:00:00"/>
    <x v="6"/>
    <x v="3"/>
    <x v="2"/>
    <n v="31"/>
    <n v="800"/>
    <n v="24800"/>
  </r>
  <r>
    <d v="2013-05-08T00:00:00"/>
    <x v="6"/>
    <x v="4"/>
    <x v="2"/>
    <n v="91"/>
    <n v="800"/>
    <n v="72800"/>
  </r>
  <r>
    <d v="2010-02-07T00:00:00"/>
    <x v="6"/>
    <x v="3"/>
    <x v="4"/>
    <n v="12"/>
    <n v="450"/>
    <n v="5400"/>
  </r>
  <r>
    <d v="2011-07-09T00:00:00"/>
    <x v="6"/>
    <x v="2"/>
    <x v="1"/>
    <n v="1"/>
    <n v="1200"/>
    <n v="1200"/>
  </r>
  <r>
    <d v="2011-09-09T00:00:00"/>
    <x v="6"/>
    <x v="1"/>
    <x v="4"/>
    <n v="10"/>
    <n v="450"/>
    <n v="4500"/>
  </r>
  <r>
    <d v="2011-07-15T00:00:00"/>
    <x v="6"/>
    <x v="4"/>
    <x v="0"/>
    <n v="36"/>
    <n v="650"/>
    <n v="23400"/>
  </r>
  <r>
    <d v="2011-03-12T00:00:00"/>
    <x v="6"/>
    <x v="1"/>
    <x v="2"/>
    <n v="16"/>
    <n v="800"/>
    <n v="12800"/>
  </r>
  <r>
    <d v="2011-02-15T00:00:00"/>
    <x v="6"/>
    <x v="5"/>
    <x v="3"/>
    <n v="24"/>
    <n v="820"/>
    <n v="19680"/>
  </r>
  <r>
    <d v="2012-07-30T00:00:00"/>
    <x v="7"/>
    <x v="4"/>
    <x v="2"/>
    <n v="2"/>
    <n v="800"/>
    <n v="1600"/>
  </r>
  <r>
    <d v="2012-03-19T00:00:00"/>
    <x v="7"/>
    <x v="4"/>
    <x v="3"/>
    <n v="172"/>
    <n v="950"/>
    <n v="163400"/>
  </r>
  <r>
    <d v="2011-08-03T00:00:00"/>
    <x v="7"/>
    <x v="3"/>
    <x v="3"/>
    <n v="21"/>
    <n v="820"/>
    <n v="17220"/>
  </r>
  <r>
    <d v="2010-06-29T00:00:00"/>
    <x v="7"/>
    <x v="3"/>
    <x v="0"/>
    <n v="50"/>
    <n v="650"/>
    <n v="32500"/>
  </r>
  <r>
    <d v="2013-02-18T00:00:00"/>
    <x v="7"/>
    <x v="4"/>
    <x v="2"/>
    <n v="43"/>
    <n v="800"/>
    <n v="34400"/>
  </r>
  <r>
    <d v="2010-09-11T00:00:00"/>
    <x v="7"/>
    <x v="1"/>
    <x v="0"/>
    <n v="42"/>
    <n v="650"/>
    <n v="27300"/>
  </r>
  <r>
    <d v="2011-06-29T00:00:00"/>
    <x v="7"/>
    <x v="1"/>
    <x v="4"/>
    <n v="1"/>
    <n v="450"/>
    <n v="450"/>
  </r>
  <r>
    <d v="2014-05-07T00:00:00"/>
    <x v="7"/>
    <x v="2"/>
    <x v="4"/>
    <n v="6"/>
    <n v="450"/>
    <n v="2700"/>
  </r>
  <r>
    <d v="2012-12-19T00:00:00"/>
    <x v="7"/>
    <x v="3"/>
    <x v="1"/>
    <n v="10"/>
    <n v="1200"/>
    <n v="12000"/>
  </r>
  <r>
    <d v="2012-05-04T00:00:00"/>
    <x v="7"/>
    <x v="2"/>
    <x v="2"/>
    <n v="21"/>
    <n v="800"/>
    <n v="16800"/>
  </r>
  <r>
    <d v="2011-12-04T00:00:00"/>
    <x v="7"/>
    <x v="2"/>
    <x v="1"/>
    <n v="18"/>
    <n v="1200"/>
    <n v="21600"/>
  </r>
  <r>
    <d v="2012-01-26T00:00:00"/>
    <x v="7"/>
    <x v="1"/>
    <x v="0"/>
    <n v="31"/>
    <n v="650"/>
    <n v="20150"/>
  </r>
  <r>
    <d v="2013-06-14T00:00:00"/>
    <x v="7"/>
    <x v="1"/>
    <x v="3"/>
    <n v="42"/>
    <n v="820"/>
    <n v="34440"/>
  </r>
  <r>
    <d v="2011-09-19T00:00:00"/>
    <x v="7"/>
    <x v="2"/>
    <x v="1"/>
    <n v="16"/>
    <n v="1200"/>
    <n v="19200"/>
  </r>
  <r>
    <d v="2010-10-18T00:00:00"/>
    <x v="7"/>
    <x v="4"/>
    <x v="3"/>
    <n v="173"/>
    <n v="950"/>
    <n v="164350"/>
  </r>
  <r>
    <d v="2013-10-14T00:00:00"/>
    <x v="7"/>
    <x v="3"/>
    <x v="1"/>
    <n v="185"/>
    <n v="1200"/>
    <n v="222000"/>
  </r>
  <r>
    <d v="2013-05-09T00:00:00"/>
    <x v="7"/>
    <x v="0"/>
    <x v="1"/>
    <n v="89"/>
    <n v="1200"/>
    <n v="106800"/>
  </r>
  <r>
    <d v="2014-04-18T00:00:00"/>
    <x v="7"/>
    <x v="2"/>
    <x v="4"/>
    <n v="10"/>
    <n v="450"/>
    <n v="4500"/>
  </r>
  <r>
    <d v="2011-06-15T00:00:00"/>
    <x v="7"/>
    <x v="5"/>
    <x v="2"/>
    <n v="20"/>
    <n v="800"/>
    <n v="16000"/>
  </r>
  <r>
    <d v="2013-11-12T00:00:00"/>
    <x v="7"/>
    <x v="4"/>
    <x v="3"/>
    <n v="17"/>
    <n v="820"/>
    <n v="13940"/>
  </r>
  <r>
    <d v="2010-08-18T00:00:00"/>
    <x v="7"/>
    <x v="0"/>
    <x v="4"/>
    <n v="71"/>
    <n v="450"/>
    <n v="31950"/>
  </r>
  <r>
    <d v="2010-08-07T00:00:00"/>
    <x v="7"/>
    <x v="0"/>
    <x v="2"/>
    <n v="81"/>
    <n v="800"/>
    <n v="64800"/>
  </r>
  <r>
    <d v="2012-05-08T00:00:00"/>
    <x v="7"/>
    <x v="0"/>
    <x v="0"/>
    <n v="43"/>
    <n v="650"/>
    <n v="27950"/>
  </r>
  <r>
    <d v="2011-01-08T00:00:00"/>
    <x v="7"/>
    <x v="3"/>
    <x v="3"/>
    <n v="107"/>
    <n v="950"/>
    <n v="101650"/>
  </r>
  <r>
    <d v="2013-02-06T00:00:00"/>
    <x v="7"/>
    <x v="2"/>
    <x v="4"/>
    <n v="4"/>
    <n v="450"/>
    <n v="1800"/>
  </r>
  <r>
    <d v="2011-08-21T00:00:00"/>
    <x v="7"/>
    <x v="2"/>
    <x v="2"/>
    <n v="23"/>
    <n v="800"/>
    <n v="18400"/>
  </r>
  <r>
    <d v="2011-02-17T00:00:00"/>
    <x v="7"/>
    <x v="4"/>
    <x v="4"/>
    <n v="32"/>
    <n v="450"/>
    <n v="14400"/>
  </r>
  <r>
    <d v="2013-01-11T00:00:00"/>
    <x v="7"/>
    <x v="2"/>
    <x v="2"/>
    <n v="49"/>
    <n v="800"/>
    <n v="39200"/>
  </r>
  <r>
    <d v="2014-08-31T00:00:00"/>
    <x v="7"/>
    <x v="1"/>
    <x v="2"/>
    <n v="9"/>
    <n v="800"/>
    <n v="7200"/>
  </r>
  <r>
    <d v="2012-11-22T00:00:00"/>
    <x v="7"/>
    <x v="1"/>
    <x v="0"/>
    <n v="3"/>
    <n v="650"/>
    <n v="1950"/>
  </r>
  <r>
    <d v="2013-12-14T00:00:00"/>
    <x v="7"/>
    <x v="3"/>
    <x v="4"/>
    <n v="116"/>
    <n v="450"/>
    <n v="52200"/>
  </r>
  <r>
    <d v="2013-10-19T00:00:00"/>
    <x v="7"/>
    <x v="1"/>
    <x v="2"/>
    <n v="26"/>
    <n v="800"/>
    <n v="20800"/>
  </r>
  <r>
    <d v="2012-12-16T00:00:00"/>
    <x v="7"/>
    <x v="4"/>
    <x v="3"/>
    <n v="59"/>
    <n v="950"/>
    <n v="56050"/>
  </r>
  <r>
    <d v="2012-02-15T00:00:00"/>
    <x v="7"/>
    <x v="1"/>
    <x v="3"/>
    <n v="96"/>
    <n v="820"/>
    <n v="78720"/>
  </r>
  <r>
    <d v="2013-03-26T00:00:00"/>
    <x v="7"/>
    <x v="3"/>
    <x v="4"/>
    <n v="178"/>
    <n v="450"/>
    <n v="80100"/>
  </r>
  <r>
    <d v="2013-01-15T00:00:00"/>
    <x v="7"/>
    <x v="3"/>
    <x v="2"/>
    <n v="8"/>
    <n v="800"/>
    <n v="6400"/>
  </r>
  <r>
    <d v="2012-09-09T00:00:00"/>
    <x v="7"/>
    <x v="2"/>
    <x v="3"/>
    <n v="6"/>
    <n v="820"/>
    <n v="4920"/>
  </r>
  <r>
    <d v="2014-05-20T00:00:00"/>
    <x v="7"/>
    <x v="0"/>
    <x v="3"/>
    <n v="16"/>
    <n v="820"/>
    <n v="13120"/>
  </r>
  <r>
    <d v="2013-05-04T00:00:00"/>
    <x v="7"/>
    <x v="1"/>
    <x v="4"/>
    <n v="66"/>
    <n v="450"/>
    <n v="29700"/>
  </r>
  <r>
    <d v="2012-10-05T00:00:00"/>
    <x v="7"/>
    <x v="5"/>
    <x v="2"/>
    <n v="46"/>
    <n v="800"/>
    <n v="36800"/>
  </r>
  <r>
    <d v="2011-12-21T00:00:00"/>
    <x v="7"/>
    <x v="0"/>
    <x v="2"/>
    <n v="98"/>
    <n v="800"/>
    <n v="78400"/>
  </r>
  <r>
    <d v="2011-04-24T00:00:00"/>
    <x v="7"/>
    <x v="0"/>
    <x v="3"/>
    <n v="17"/>
    <n v="950"/>
    <n v="16150"/>
  </r>
  <r>
    <d v="2010-09-16T00:00:00"/>
    <x v="7"/>
    <x v="3"/>
    <x v="1"/>
    <n v="41"/>
    <n v="1200"/>
    <n v="49200"/>
  </r>
  <r>
    <d v="2010-01-17T00:00:00"/>
    <x v="7"/>
    <x v="5"/>
    <x v="1"/>
    <n v="230"/>
    <n v="1200"/>
    <n v="276000"/>
  </r>
  <r>
    <d v="2010-08-01T00:00:00"/>
    <x v="7"/>
    <x v="1"/>
    <x v="3"/>
    <n v="13"/>
    <n v="820"/>
    <n v="10660"/>
  </r>
  <r>
    <d v="2013-07-26T00:00:00"/>
    <x v="7"/>
    <x v="2"/>
    <x v="3"/>
    <n v="18"/>
    <n v="950"/>
    <n v="17100"/>
  </r>
  <r>
    <d v="2014-03-27T00:00:00"/>
    <x v="7"/>
    <x v="2"/>
    <x v="4"/>
    <n v="29"/>
    <n v="450"/>
    <n v="13050"/>
  </r>
  <r>
    <d v="2012-11-10T00:00:00"/>
    <x v="7"/>
    <x v="4"/>
    <x v="2"/>
    <n v="9"/>
    <n v="800"/>
    <n v="7200"/>
  </r>
  <r>
    <d v="2012-01-06T00:00:00"/>
    <x v="7"/>
    <x v="4"/>
    <x v="3"/>
    <n v="270"/>
    <n v="820"/>
    <n v="221400"/>
  </r>
  <r>
    <d v="2010-11-30T00:00:00"/>
    <x v="7"/>
    <x v="0"/>
    <x v="2"/>
    <n v="45"/>
    <n v="800"/>
    <n v="36000"/>
  </r>
  <r>
    <d v="2010-01-21T00:00:00"/>
    <x v="7"/>
    <x v="2"/>
    <x v="2"/>
    <n v="8"/>
    <n v="800"/>
    <n v="6400"/>
  </r>
  <r>
    <d v="2013-10-06T00:00:00"/>
    <x v="7"/>
    <x v="4"/>
    <x v="3"/>
    <n v="5"/>
    <n v="820"/>
    <n v="4100"/>
  </r>
  <r>
    <d v="2014-01-05T00:00:00"/>
    <x v="7"/>
    <x v="5"/>
    <x v="4"/>
    <n v="97"/>
    <n v="450"/>
    <n v="43650"/>
  </r>
  <r>
    <d v="2014-09-19T00:00:00"/>
    <x v="7"/>
    <x v="5"/>
    <x v="3"/>
    <n v="31"/>
    <n v="950"/>
    <n v="29450"/>
  </r>
  <r>
    <d v="2011-12-07T00:00:00"/>
    <x v="7"/>
    <x v="4"/>
    <x v="2"/>
    <n v="68"/>
    <n v="800"/>
    <n v="54400"/>
  </r>
  <r>
    <d v="2011-02-07T00:00:00"/>
    <x v="7"/>
    <x v="0"/>
    <x v="2"/>
    <n v="74"/>
    <n v="800"/>
    <n v="59200"/>
  </r>
  <r>
    <d v="2013-05-08T00:00:00"/>
    <x v="8"/>
    <x v="1"/>
    <x v="2"/>
    <n v="39"/>
    <n v="800"/>
    <n v="31200"/>
  </r>
  <r>
    <d v="2010-02-13T00:00:00"/>
    <x v="8"/>
    <x v="2"/>
    <x v="3"/>
    <n v="24"/>
    <n v="950"/>
    <n v="22800"/>
  </r>
  <r>
    <d v="2010-03-30T00:00:00"/>
    <x v="8"/>
    <x v="2"/>
    <x v="2"/>
    <n v="4"/>
    <n v="800"/>
    <n v="3200"/>
  </r>
  <r>
    <d v="2011-08-13T00:00:00"/>
    <x v="8"/>
    <x v="5"/>
    <x v="3"/>
    <n v="159"/>
    <n v="950"/>
    <n v="151050"/>
  </r>
  <r>
    <d v="2011-11-28T00:00:00"/>
    <x v="8"/>
    <x v="5"/>
    <x v="2"/>
    <n v="81"/>
    <n v="800"/>
    <n v="64800"/>
  </r>
  <r>
    <d v="2013-09-16T00:00:00"/>
    <x v="8"/>
    <x v="3"/>
    <x v="4"/>
    <n v="52"/>
    <n v="450"/>
    <n v="23400"/>
  </r>
  <r>
    <d v="2012-04-16T00:00:00"/>
    <x v="8"/>
    <x v="5"/>
    <x v="1"/>
    <n v="104"/>
    <n v="1200"/>
    <n v="124800"/>
  </r>
  <r>
    <d v="2012-07-13T00:00:00"/>
    <x v="8"/>
    <x v="1"/>
    <x v="3"/>
    <n v="15"/>
    <n v="950"/>
    <n v="14250"/>
  </r>
  <r>
    <d v="2010-10-28T00:00:00"/>
    <x v="8"/>
    <x v="2"/>
    <x v="3"/>
    <n v="4"/>
    <n v="820"/>
    <n v="3280"/>
  </r>
  <r>
    <d v="2013-05-10T00:00:00"/>
    <x v="8"/>
    <x v="1"/>
    <x v="3"/>
    <n v="9"/>
    <n v="950"/>
    <n v="8550"/>
  </r>
  <r>
    <d v="2010-10-17T00:00:00"/>
    <x v="8"/>
    <x v="4"/>
    <x v="3"/>
    <n v="49"/>
    <n v="820"/>
    <n v="40180"/>
  </r>
  <r>
    <d v="2012-01-04T00:00:00"/>
    <x v="8"/>
    <x v="4"/>
    <x v="3"/>
    <n v="86"/>
    <n v="820"/>
    <n v="70520"/>
  </r>
  <r>
    <d v="2011-01-30T00:00:00"/>
    <x v="8"/>
    <x v="2"/>
    <x v="4"/>
    <n v="1"/>
    <n v="450"/>
    <n v="450"/>
  </r>
  <r>
    <d v="2010-07-21T00:00:00"/>
    <x v="8"/>
    <x v="1"/>
    <x v="2"/>
    <n v="49"/>
    <n v="800"/>
    <n v="39200"/>
  </r>
  <r>
    <d v="2014-09-29T00:00:00"/>
    <x v="8"/>
    <x v="0"/>
    <x v="3"/>
    <n v="18"/>
    <n v="950"/>
    <n v="17100"/>
  </r>
  <r>
    <d v="2010-03-01T00:00:00"/>
    <x v="8"/>
    <x v="3"/>
    <x v="3"/>
    <n v="9"/>
    <n v="950"/>
    <n v="8550"/>
  </r>
  <r>
    <d v="2012-08-09T00:00:00"/>
    <x v="8"/>
    <x v="0"/>
    <x v="3"/>
    <n v="45"/>
    <n v="820"/>
    <n v="36900"/>
  </r>
  <r>
    <d v="2010-09-01T00:00:00"/>
    <x v="8"/>
    <x v="3"/>
    <x v="2"/>
    <n v="141"/>
    <n v="800"/>
    <n v="112800"/>
  </r>
  <r>
    <d v="2010-11-20T00:00:00"/>
    <x v="8"/>
    <x v="0"/>
    <x v="3"/>
    <n v="46"/>
    <n v="820"/>
    <n v="37720"/>
  </r>
  <r>
    <d v="2014-10-17T00:00:00"/>
    <x v="8"/>
    <x v="5"/>
    <x v="0"/>
    <n v="94"/>
    <n v="650"/>
    <n v="61100"/>
  </r>
  <r>
    <d v="2010-12-18T00:00:00"/>
    <x v="8"/>
    <x v="5"/>
    <x v="4"/>
    <n v="29"/>
    <n v="450"/>
    <n v="13050"/>
  </r>
  <r>
    <d v="2011-10-17T00:00:00"/>
    <x v="8"/>
    <x v="4"/>
    <x v="2"/>
    <n v="1"/>
    <n v="800"/>
    <n v="800"/>
  </r>
  <r>
    <d v="2011-02-05T00:00:00"/>
    <x v="8"/>
    <x v="5"/>
    <x v="1"/>
    <n v="117"/>
    <n v="1200"/>
    <n v="140400"/>
  </r>
  <r>
    <d v="2013-03-09T00:00:00"/>
    <x v="8"/>
    <x v="4"/>
    <x v="1"/>
    <n v="58"/>
    <n v="1200"/>
    <n v="69600"/>
  </r>
  <r>
    <d v="2014-03-02T00:00:00"/>
    <x v="8"/>
    <x v="2"/>
    <x v="3"/>
    <n v="9"/>
    <n v="820"/>
    <n v="7380"/>
  </r>
  <r>
    <d v="2013-08-19T00:00:00"/>
    <x v="8"/>
    <x v="4"/>
    <x v="3"/>
    <n v="136"/>
    <n v="820"/>
    <n v="111520"/>
  </r>
  <r>
    <d v="2014-04-25T00:00:00"/>
    <x v="8"/>
    <x v="1"/>
    <x v="2"/>
    <n v="8"/>
    <n v="800"/>
    <n v="6400"/>
  </r>
  <r>
    <d v="2010-09-03T00:00:00"/>
    <x v="8"/>
    <x v="3"/>
    <x v="2"/>
    <n v="150"/>
    <n v="800"/>
    <n v="120000"/>
  </r>
  <r>
    <d v="2013-11-08T00:00:00"/>
    <x v="8"/>
    <x v="1"/>
    <x v="0"/>
    <n v="11"/>
    <n v="650"/>
    <n v="7150"/>
  </r>
  <r>
    <d v="2011-07-11T00:00:00"/>
    <x v="8"/>
    <x v="4"/>
    <x v="0"/>
    <n v="83"/>
    <n v="650"/>
    <n v="53950"/>
  </r>
  <r>
    <d v="2012-07-01T00:00:00"/>
    <x v="8"/>
    <x v="2"/>
    <x v="4"/>
    <n v="16"/>
    <n v="450"/>
    <n v="7200"/>
  </r>
  <r>
    <d v="2010-12-19T00:00:00"/>
    <x v="8"/>
    <x v="5"/>
    <x v="3"/>
    <n v="14"/>
    <n v="820"/>
    <n v="11480"/>
  </r>
  <r>
    <d v="2012-05-17T00:00:00"/>
    <x v="8"/>
    <x v="2"/>
    <x v="1"/>
    <n v="3"/>
    <n v="1200"/>
    <n v="3600"/>
  </r>
  <r>
    <d v="2010-11-02T00:00:00"/>
    <x v="8"/>
    <x v="5"/>
    <x v="4"/>
    <n v="165"/>
    <n v="450"/>
    <n v="74250"/>
  </r>
  <r>
    <d v="2010-04-27T00:00:00"/>
    <x v="8"/>
    <x v="5"/>
    <x v="2"/>
    <n v="30"/>
    <n v="800"/>
    <n v="24000"/>
  </r>
  <r>
    <d v="2011-12-26T00:00:00"/>
    <x v="8"/>
    <x v="5"/>
    <x v="0"/>
    <n v="226"/>
    <n v="650"/>
    <n v="146900"/>
  </r>
  <r>
    <d v="2012-05-20T00:00:00"/>
    <x v="8"/>
    <x v="3"/>
    <x v="3"/>
    <n v="18"/>
    <n v="950"/>
    <n v="17100"/>
  </r>
  <r>
    <d v="2011-04-04T00:00:00"/>
    <x v="8"/>
    <x v="3"/>
    <x v="1"/>
    <n v="45"/>
    <n v="1200"/>
    <n v="54000"/>
  </r>
  <r>
    <d v="2011-10-23T00:00:00"/>
    <x v="8"/>
    <x v="1"/>
    <x v="3"/>
    <n v="27"/>
    <n v="950"/>
    <n v="25650"/>
  </r>
  <r>
    <d v="2011-01-22T00:00:00"/>
    <x v="8"/>
    <x v="5"/>
    <x v="2"/>
    <n v="84"/>
    <n v="800"/>
    <n v="67200"/>
  </r>
  <r>
    <d v="2011-05-01T00:00:00"/>
    <x v="8"/>
    <x v="0"/>
    <x v="0"/>
    <n v="54"/>
    <n v="650"/>
    <n v="35100"/>
  </r>
  <r>
    <d v="2014-04-19T00:00:00"/>
    <x v="8"/>
    <x v="4"/>
    <x v="3"/>
    <n v="53"/>
    <n v="820"/>
    <n v="43460"/>
  </r>
  <r>
    <d v="2012-01-15T00:00:00"/>
    <x v="8"/>
    <x v="2"/>
    <x v="3"/>
    <n v="16"/>
    <n v="950"/>
    <n v="15200"/>
  </r>
  <r>
    <d v="2014-06-14T00:00:00"/>
    <x v="8"/>
    <x v="4"/>
    <x v="2"/>
    <n v="81"/>
    <n v="800"/>
    <n v="64800"/>
  </r>
  <r>
    <d v="2011-02-08T00:00:00"/>
    <x v="8"/>
    <x v="5"/>
    <x v="3"/>
    <n v="73"/>
    <n v="950"/>
    <n v="69350"/>
  </r>
  <r>
    <d v="2014-03-16T00:00:00"/>
    <x v="8"/>
    <x v="1"/>
    <x v="3"/>
    <n v="14"/>
    <n v="950"/>
    <n v="13300"/>
  </r>
  <r>
    <d v="2010-11-20T00:00:00"/>
    <x v="8"/>
    <x v="0"/>
    <x v="2"/>
    <n v="9"/>
    <n v="800"/>
    <n v="7200"/>
  </r>
  <r>
    <d v="2010-03-10T00:00:00"/>
    <x v="8"/>
    <x v="1"/>
    <x v="3"/>
    <n v="9"/>
    <n v="820"/>
    <n v="7380"/>
  </r>
  <r>
    <d v="2010-05-23T00:00:00"/>
    <x v="8"/>
    <x v="1"/>
    <x v="0"/>
    <n v="5"/>
    <n v="650"/>
    <n v="3250"/>
  </r>
  <r>
    <d v="2014-05-02T00:00:00"/>
    <x v="8"/>
    <x v="0"/>
    <x v="1"/>
    <n v="29"/>
    <n v="1200"/>
    <n v="34800"/>
  </r>
  <r>
    <d v="2010-12-28T00:00:00"/>
    <x v="8"/>
    <x v="0"/>
    <x v="0"/>
    <n v="11"/>
    <n v="650"/>
    <n v="7150"/>
  </r>
  <r>
    <d v="2013-09-05T00:00:00"/>
    <x v="8"/>
    <x v="5"/>
    <x v="2"/>
    <n v="91"/>
    <n v="800"/>
    <n v="72800"/>
  </r>
  <r>
    <d v="2012-06-21T00:00:00"/>
    <x v="8"/>
    <x v="4"/>
    <x v="2"/>
    <n v="201"/>
    <n v="800"/>
    <n v="160800"/>
  </r>
  <r>
    <d v="2014-06-19T00:00:00"/>
    <x v="8"/>
    <x v="3"/>
    <x v="3"/>
    <n v="56"/>
    <n v="950"/>
    <n v="53200"/>
  </r>
  <r>
    <d v="2010-01-12T00:00:00"/>
    <x v="9"/>
    <x v="0"/>
    <x v="2"/>
    <n v="56"/>
    <n v="800"/>
    <n v="44800"/>
  </r>
  <r>
    <d v="2013-08-07T00:00:00"/>
    <x v="9"/>
    <x v="0"/>
    <x v="3"/>
    <n v="147"/>
    <n v="950"/>
    <n v="139650"/>
  </r>
  <r>
    <d v="2010-02-09T00:00:00"/>
    <x v="9"/>
    <x v="2"/>
    <x v="0"/>
    <n v="14"/>
    <n v="650"/>
    <n v="9100"/>
  </r>
  <r>
    <d v="2011-10-14T00:00:00"/>
    <x v="9"/>
    <x v="5"/>
    <x v="0"/>
    <n v="88"/>
    <n v="650"/>
    <n v="57200"/>
  </r>
  <r>
    <d v="2013-07-30T00:00:00"/>
    <x v="9"/>
    <x v="0"/>
    <x v="3"/>
    <n v="51"/>
    <n v="950"/>
    <n v="48450"/>
  </r>
  <r>
    <d v="2010-06-01T00:00:00"/>
    <x v="9"/>
    <x v="5"/>
    <x v="1"/>
    <n v="166"/>
    <n v="1200"/>
    <n v="199200"/>
  </r>
  <r>
    <d v="2010-05-16T00:00:00"/>
    <x v="9"/>
    <x v="4"/>
    <x v="3"/>
    <n v="26"/>
    <n v="820"/>
    <n v="21320"/>
  </r>
  <r>
    <d v="2013-08-13T00:00:00"/>
    <x v="9"/>
    <x v="2"/>
    <x v="1"/>
    <n v="14"/>
    <n v="1200"/>
    <n v="16800"/>
  </r>
  <r>
    <d v="2012-11-30T00:00:00"/>
    <x v="9"/>
    <x v="5"/>
    <x v="0"/>
    <n v="116"/>
    <n v="650"/>
    <n v="75400"/>
  </r>
  <r>
    <d v="2011-08-11T00:00:00"/>
    <x v="9"/>
    <x v="0"/>
    <x v="0"/>
    <n v="7"/>
    <n v="650"/>
    <n v="4550"/>
  </r>
  <r>
    <d v="2010-02-09T00:00:00"/>
    <x v="9"/>
    <x v="5"/>
    <x v="3"/>
    <n v="149"/>
    <n v="950"/>
    <n v="141550"/>
  </r>
  <r>
    <d v="2010-12-22T00:00:00"/>
    <x v="9"/>
    <x v="3"/>
    <x v="1"/>
    <n v="60"/>
    <n v="1200"/>
    <n v="72000"/>
  </r>
  <r>
    <d v="2014-08-12T00:00:00"/>
    <x v="9"/>
    <x v="0"/>
    <x v="3"/>
    <n v="46"/>
    <n v="950"/>
    <n v="43700"/>
  </r>
  <r>
    <d v="2011-12-07T00:00:00"/>
    <x v="9"/>
    <x v="5"/>
    <x v="3"/>
    <n v="18"/>
    <n v="820"/>
    <n v="14760"/>
  </r>
  <r>
    <d v="2014-11-28T00:00:00"/>
    <x v="9"/>
    <x v="2"/>
    <x v="0"/>
    <n v="5"/>
    <n v="650"/>
    <n v="3250"/>
  </r>
  <r>
    <d v="2012-04-10T00:00:00"/>
    <x v="9"/>
    <x v="2"/>
    <x v="3"/>
    <n v="6"/>
    <n v="820"/>
    <n v="4920"/>
  </r>
  <r>
    <d v="2013-11-21T00:00:00"/>
    <x v="9"/>
    <x v="0"/>
    <x v="0"/>
    <n v="89"/>
    <n v="650"/>
    <n v="57850"/>
  </r>
  <r>
    <d v="2013-01-06T00:00:00"/>
    <x v="9"/>
    <x v="4"/>
    <x v="1"/>
    <n v="131"/>
    <n v="1200"/>
    <n v="157200"/>
  </r>
  <r>
    <d v="2014-03-16T00:00:00"/>
    <x v="9"/>
    <x v="5"/>
    <x v="2"/>
    <n v="18"/>
    <n v="800"/>
    <n v="14400"/>
  </r>
  <r>
    <d v="2013-10-12T00:00:00"/>
    <x v="9"/>
    <x v="4"/>
    <x v="4"/>
    <n v="17"/>
    <n v="450"/>
    <n v="7650"/>
  </r>
  <r>
    <d v="2011-04-05T00:00:00"/>
    <x v="9"/>
    <x v="3"/>
    <x v="4"/>
    <n v="55"/>
    <n v="450"/>
    <n v="24750"/>
  </r>
  <r>
    <d v="2013-12-17T00:00:00"/>
    <x v="9"/>
    <x v="5"/>
    <x v="0"/>
    <n v="8"/>
    <n v="650"/>
    <n v="5200"/>
  </r>
  <r>
    <d v="2012-01-07T00:00:00"/>
    <x v="9"/>
    <x v="2"/>
    <x v="1"/>
    <n v="3"/>
    <n v="1200"/>
    <n v="3600"/>
  </r>
  <r>
    <d v="2011-10-20T00:00:00"/>
    <x v="9"/>
    <x v="2"/>
    <x v="3"/>
    <n v="16"/>
    <n v="820"/>
    <n v="13120"/>
  </r>
  <r>
    <d v="2012-03-14T00:00:00"/>
    <x v="9"/>
    <x v="4"/>
    <x v="1"/>
    <n v="172"/>
    <n v="1200"/>
    <n v="206400"/>
  </r>
  <r>
    <d v="2011-08-28T00:00:00"/>
    <x v="9"/>
    <x v="0"/>
    <x v="2"/>
    <n v="118"/>
    <n v="800"/>
    <n v="94400"/>
  </r>
  <r>
    <d v="2012-09-04T00:00:00"/>
    <x v="9"/>
    <x v="0"/>
    <x v="3"/>
    <n v="38"/>
    <n v="820"/>
    <n v="31160"/>
  </r>
  <r>
    <d v="2012-09-19T00:00:00"/>
    <x v="9"/>
    <x v="4"/>
    <x v="0"/>
    <n v="19"/>
    <n v="650"/>
    <n v="12350"/>
  </r>
  <r>
    <d v="2010-10-31T00:00:00"/>
    <x v="9"/>
    <x v="3"/>
    <x v="0"/>
    <n v="4"/>
    <n v="650"/>
    <n v="2600"/>
  </r>
  <r>
    <d v="2010-12-11T00:00:00"/>
    <x v="9"/>
    <x v="1"/>
    <x v="1"/>
    <n v="3"/>
    <n v="1200"/>
    <n v="3600"/>
  </r>
  <r>
    <d v="2014-01-03T00:00:00"/>
    <x v="9"/>
    <x v="3"/>
    <x v="0"/>
    <n v="18"/>
    <n v="650"/>
    <n v="11700"/>
  </r>
  <r>
    <d v="2012-10-24T00:00:00"/>
    <x v="9"/>
    <x v="1"/>
    <x v="3"/>
    <n v="2"/>
    <n v="820"/>
    <n v="1640"/>
  </r>
  <r>
    <d v="2013-02-27T00:00:00"/>
    <x v="9"/>
    <x v="5"/>
    <x v="3"/>
    <n v="27"/>
    <n v="950"/>
    <n v="25650"/>
  </r>
  <r>
    <d v="2014-01-12T00:00:00"/>
    <x v="9"/>
    <x v="5"/>
    <x v="0"/>
    <n v="134"/>
    <n v="650"/>
    <n v="87100"/>
  </r>
  <r>
    <d v="2013-10-12T00:00:00"/>
    <x v="9"/>
    <x v="4"/>
    <x v="4"/>
    <n v="59"/>
    <n v="450"/>
    <n v="26550"/>
  </r>
  <r>
    <d v="2013-05-02T00:00:00"/>
    <x v="9"/>
    <x v="1"/>
    <x v="1"/>
    <n v="11"/>
    <n v="1200"/>
    <n v="13200"/>
  </r>
  <r>
    <d v="2010-11-22T00:00:00"/>
    <x v="9"/>
    <x v="5"/>
    <x v="3"/>
    <n v="114"/>
    <n v="820"/>
    <n v="93480"/>
  </r>
  <r>
    <d v="2013-12-07T00:00:00"/>
    <x v="9"/>
    <x v="0"/>
    <x v="2"/>
    <n v="30"/>
    <n v="800"/>
    <n v="24000"/>
  </r>
  <r>
    <d v="2013-04-28T00:00:00"/>
    <x v="9"/>
    <x v="0"/>
    <x v="1"/>
    <n v="9"/>
    <n v="1200"/>
    <n v="10800"/>
  </r>
  <r>
    <d v="2013-09-24T00:00:00"/>
    <x v="9"/>
    <x v="1"/>
    <x v="2"/>
    <n v="7"/>
    <n v="800"/>
    <n v="5600"/>
  </r>
  <r>
    <d v="2011-05-02T00:00:00"/>
    <x v="9"/>
    <x v="4"/>
    <x v="0"/>
    <n v="175"/>
    <n v="650"/>
    <n v="113750"/>
  </r>
  <r>
    <d v="2014-10-03T00:00:00"/>
    <x v="9"/>
    <x v="3"/>
    <x v="2"/>
    <n v="44"/>
    <n v="800"/>
    <n v="35200"/>
  </r>
  <r>
    <d v="2011-05-21T00:00:00"/>
    <x v="9"/>
    <x v="2"/>
    <x v="1"/>
    <n v="1"/>
    <n v="1200"/>
    <n v="1200"/>
  </r>
  <r>
    <d v="2012-07-05T00:00:00"/>
    <x v="9"/>
    <x v="4"/>
    <x v="2"/>
    <n v="86"/>
    <n v="800"/>
    <n v="68800"/>
  </r>
  <r>
    <d v="2012-02-21T00:00:00"/>
    <x v="9"/>
    <x v="4"/>
    <x v="4"/>
    <n v="34"/>
    <n v="450"/>
    <n v="15300"/>
  </r>
  <r>
    <d v="2011-10-04T00:00:00"/>
    <x v="9"/>
    <x v="4"/>
    <x v="2"/>
    <n v="44"/>
    <n v="800"/>
    <n v="35200"/>
  </r>
  <r>
    <d v="2011-08-02T00:00:00"/>
    <x v="9"/>
    <x v="4"/>
    <x v="4"/>
    <n v="52"/>
    <n v="450"/>
    <n v="23400"/>
  </r>
  <r>
    <d v="2014-06-24T00:00:00"/>
    <x v="9"/>
    <x v="2"/>
    <x v="1"/>
    <n v="9"/>
    <n v="1200"/>
    <n v="10800"/>
  </r>
  <r>
    <d v="2013-12-10T00:00:00"/>
    <x v="9"/>
    <x v="1"/>
    <x v="0"/>
    <n v="54"/>
    <n v="650"/>
    <n v="35100"/>
  </r>
  <r>
    <d v="2014-10-11T00:00:00"/>
    <x v="9"/>
    <x v="4"/>
    <x v="0"/>
    <n v="57"/>
    <n v="650"/>
    <n v="37050"/>
  </r>
  <r>
    <d v="2010-10-15T00:00:00"/>
    <x v="9"/>
    <x v="4"/>
    <x v="3"/>
    <n v="78"/>
    <n v="820"/>
    <n v="63960"/>
  </r>
  <r>
    <d v="2010-09-07T00:00:00"/>
    <x v="9"/>
    <x v="2"/>
    <x v="2"/>
    <n v="6"/>
    <n v="800"/>
    <n v="4800"/>
  </r>
  <r>
    <d v="2011-07-20T00:00:00"/>
    <x v="9"/>
    <x v="3"/>
    <x v="3"/>
    <n v="51"/>
    <n v="950"/>
    <n v="48450"/>
  </r>
  <r>
    <d v="2012-05-07T00:00:00"/>
    <x v="9"/>
    <x v="4"/>
    <x v="3"/>
    <n v="17"/>
    <n v="820"/>
    <n v="13940"/>
  </r>
  <r>
    <d v="2010-08-27T00:00:00"/>
    <x v="9"/>
    <x v="0"/>
    <x v="3"/>
    <n v="57"/>
    <n v="820"/>
    <n v="46740"/>
  </r>
  <r>
    <d v="2011-09-08T00:00:00"/>
    <x v="9"/>
    <x v="1"/>
    <x v="2"/>
    <n v="5"/>
    <n v="800"/>
    <n v="4000"/>
  </r>
  <r>
    <d v="2014-11-09T00:00:00"/>
    <x v="9"/>
    <x v="3"/>
    <x v="3"/>
    <n v="83"/>
    <n v="820"/>
    <n v="68060"/>
  </r>
  <r>
    <d v="2014-11-26T00:00:00"/>
    <x v="9"/>
    <x v="4"/>
    <x v="0"/>
    <n v="286"/>
    <n v="650"/>
    <n v="185900"/>
  </r>
  <r>
    <d v="2012-04-21T00:00:00"/>
    <x v="9"/>
    <x v="0"/>
    <x v="2"/>
    <n v="51"/>
    <n v="800"/>
    <n v="40800"/>
  </r>
  <r>
    <d v="2011-11-19T00:00:00"/>
    <x v="9"/>
    <x v="3"/>
    <x v="0"/>
    <n v="27"/>
    <n v="650"/>
    <n v="17550"/>
  </r>
  <r>
    <d v="2010-07-14T00:00:00"/>
    <x v="9"/>
    <x v="4"/>
    <x v="3"/>
    <n v="29"/>
    <n v="820"/>
    <n v="23780"/>
  </r>
  <r>
    <d v="2013-02-07T00:00:00"/>
    <x v="9"/>
    <x v="3"/>
    <x v="0"/>
    <n v="76"/>
    <n v="650"/>
    <n v="49400"/>
  </r>
  <r>
    <d v="2012-11-28T00:00:00"/>
    <x v="9"/>
    <x v="2"/>
    <x v="3"/>
    <n v="32"/>
    <n v="820"/>
    <n v="26240"/>
  </r>
  <r>
    <d v="2010-02-04T00:00:00"/>
    <x v="10"/>
    <x v="0"/>
    <x v="3"/>
    <n v="142"/>
    <n v="820"/>
    <n v="116440"/>
  </r>
  <r>
    <d v="2012-06-16T00:00:00"/>
    <x v="10"/>
    <x v="5"/>
    <x v="2"/>
    <n v="46"/>
    <n v="800"/>
    <n v="36800"/>
  </r>
  <r>
    <d v="2011-11-18T00:00:00"/>
    <x v="10"/>
    <x v="1"/>
    <x v="3"/>
    <n v="7"/>
    <n v="820"/>
    <n v="5740"/>
  </r>
  <r>
    <d v="2014-09-24T00:00:00"/>
    <x v="10"/>
    <x v="3"/>
    <x v="3"/>
    <n v="27"/>
    <n v="820"/>
    <n v="22140"/>
  </r>
  <r>
    <d v="2012-05-15T00:00:00"/>
    <x v="10"/>
    <x v="0"/>
    <x v="3"/>
    <n v="24"/>
    <n v="820"/>
    <n v="19680"/>
  </r>
  <r>
    <d v="2011-11-22T00:00:00"/>
    <x v="10"/>
    <x v="5"/>
    <x v="0"/>
    <n v="78"/>
    <n v="650"/>
    <n v="50700"/>
  </r>
  <r>
    <d v="2014-09-25T00:00:00"/>
    <x v="10"/>
    <x v="0"/>
    <x v="2"/>
    <n v="23"/>
    <n v="800"/>
    <n v="18400"/>
  </r>
  <r>
    <d v="2012-06-03T00:00:00"/>
    <x v="10"/>
    <x v="3"/>
    <x v="4"/>
    <n v="3"/>
    <n v="450"/>
    <n v="1350"/>
  </r>
  <r>
    <d v="2010-04-26T00:00:00"/>
    <x v="10"/>
    <x v="0"/>
    <x v="1"/>
    <n v="38"/>
    <n v="1200"/>
    <n v="45600"/>
  </r>
  <r>
    <d v="2012-02-23T00:00:00"/>
    <x v="10"/>
    <x v="2"/>
    <x v="0"/>
    <n v="4"/>
    <n v="650"/>
    <n v="2600"/>
  </r>
  <r>
    <d v="2010-10-18T00:00:00"/>
    <x v="10"/>
    <x v="4"/>
    <x v="2"/>
    <n v="267"/>
    <n v="800"/>
    <n v="213600"/>
  </r>
  <r>
    <d v="2010-01-21T00:00:00"/>
    <x v="10"/>
    <x v="5"/>
    <x v="0"/>
    <n v="188"/>
    <n v="650"/>
    <n v="122200"/>
  </r>
  <r>
    <d v="2014-01-26T00:00:00"/>
    <x v="10"/>
    <x v="4"/>
    <x v="4"/>
    <n v="96"/>
    <n v="450"/>
    <n v="43200"/>
  </r>
  <r>
    <d v="2011-12-18T00:00:00"/>
    <x v="10"/>
    <x v="2"/>
    <x v="3"/>
    <n v="1"/>
    <n v="820"/>
    <n v="820"/>
  </r>
  <r>
    <d v="2011-05-26T00:00:00"/>
    <x v="10"/>
    <x v="1"/>
    <x v="3"/>
    <n v="11"/>
    <n v="820"/>
    <n v="9020"/>
  </r>
  <r>
    <d v="2014-01-28T00:00:00"/>
    <x v="10"/>
    <x v="1"/>
    <x v="3"/>
    <n v="14"/>
    <n v="820"/>
    <n v="11480"/>
  </r>
  <r>
    <d v="2010-09-23T00:00:00"/>
    <x v="10"/>
    <x v="0"/>
    <x v="3"/>
    <n v="28"/>
    <n v="950"/>
    <n v="26600"/>
  </r>
  <r>
    <d v="2014-04-22T00:00:00"/>
    <x v="10"/>
    <x v="2"/>
    <x v="4"/>
    <n v="8"/>
    <n v="450"/>
    <n v="3600"/>
  </r>
  <r>
    <d v="2011-12-22T00:00:00"/>
    <x v="10"/>
    <x v="5"/>
    <x v="2"/>
    <n v="18"/>
    <n v="800"/>
    <n v="14400"/>
  </r>
  <r>
    <d v="2012-10-08T00:00:00"/>
    <x v="10"/>
    <x v="5"/>
    <x v="4"/>
    <n v="66"/>
    <n v="450"/>
    <n v="29700"/>
  </r>
  <r>
    <d v="2012-03-15T00:00:00"/>
    <x v="10"/>
    <x v="5"/>
    <x v="0"/>
    <n v="74"/>
    <n v="650"/>
    <n v="48100"/>
  </r>
  <r>
    <d v="2014-02-16T00:00:00"/>
    <x v="10"/>
    <x v="1"/>
    <x v="1"/>
    <n v="44"/>
    <n v="1200"/>
    <n v="52800"/>
  </r>
  <r>
    <d v="2014-07-27T00:00:00"/>
    <x v="10"/>
    <x v="3"/>
    <x v="3"/>
    <n v="26"/>
    <n v="820"/>
    <n v="21320"/>
  </r>
  <r>
    <d v="2013-12-08T00:00:00"/>
    <x v="10"/>
    <x v="2"/>
    <x v="2"/>
    <n v="46"/>
    <n v="800"/>
    <n v="36800"/>
  </r>
  <r>
    <d v="2013-10-13T00:00:00"/>
    <x v="10"/>
    <x v="2"/>
    <x v="3"/>
    <n v="4"/>
    <n v="820"/>
    <n v="3280"/>
  </r>
  <r>
    <d v="2014-01-09T00:00:00"/>
    <x v="10"/>
    <x v="5"/>
    <x v="3"/>
    <n v="96"/>
    <n v="950"/>
    <n v="91200"/>
  </r>
  <r>
    <d v="2010-12-29T00:00:00"/>
    <x v="10"/>
    <x v="3"/>
    <x v="3"/>
    <n v="166"/>
    <n v="950"/>
    <n v="157700"/>
  </r>
  <r>
    <d v="2010-10-15T00:00:00"/>
    <x v="10"/>
    <x v="0"/>
    <x v="2"/>
    <n v="7"/>
    <n v="800"/>
    <n v="5600"/>
  </r>
  <r>
    <d v="2012-02-01T00:00:00"/>
    <x v="10"/>
    <x v="2"/>
    <x v="2"/>
    <n v="6"/>
    <n v="800"/>
    <n v="4800"/>
  </r>
  <r>
    <d v="2010-07-23T00:00:00"/>
    <x v="10"/>
    <x v="3"/>
    <x v="3"/>
    <n v="44"/>
    <n v="950"/>
    <n v="41800"/>
  </r>
  <r>
    <d v="2011-06-23T00:00:00"/>
    <x v="10"/>
    <x v="0"/>
    <x v="3"/>
    <n v="70"/>
    <n v="820"/>
    <n v="57400"/>
  </r>
  <r>
    <d v="2014-11-07T00:00:00"/>
    <x v="10"/>
    <x v="4"/>
    <x v="2"/>
    <n v="116"/>
    <n v="800"/>
    <n v="92800"/>
  </r>
  <r>
    <d v="2014-04-28T00:00:00"/>
    <x v="10"/>
    <x v="4"/>
    <x v="2"/>
    <n v="149"/>
    <n v="800"/>
    <n v="119200"/>
  </r>
  <r>
    <d v="2010-07-08T00:00:00"/>
    <x v="10"/>
    <x v="1"/>
    <x v="3"/>
    <n v="40"/>
    <n v="820"/>
    <n v="32800"/>
  </r>
  <r>
    <d v="2011-02-26T00:00:00"/>
    <x v="10"/>
    <x v="4"/>
    <x v="4"/>
    <n v="199"/>
    <n v="450"/>
    <n v="89550"/>
  </r>
  <r>
    <d v="2011-02-18T00:00:00"/>
    <x v="10"/>
    <x v="0"/>
    <x v="4"/>
    <n v="69"/>
    <n v="450"/>
    <n v="31050"/>
  </r>
  <r>
    <d v="2013-09-05T00:00:00"/>
    <x v="10"/>
    <x v="2"/>
    <x v="2"/>
    <n v="18"/>
    <n v="800"/>
    <n v="14400"/>
  </r>
  <r>
    <d v="2014-08-28T00:00:00"/>
    <x v="10"/>
    <x v="5"/>
    <x v="2"/>
    <n v="52"/>
    <n v="800"/>
    <n v="41600"/>
  </r>
  <r>
    <d v="2011-09-23T00:00:00"/>
    <x v="10"/>
    <x v="1"/>
    <x v="0"/>
    <n v="46"/>
    <n v="650"/>
    <n v="29900"/>
  </r>
  <r>
    <d v="2011-11-17T00:00:00"/>
    <x v="10"/>
    <x v="0"/>
    <x v="4"/>
    <n v="11"/>
    <n v="450"/>
    <n v="4950"/>
  </r>
  <r>
    <d v="2013-08-10T00:00:00"/>
    <x v="10"/>
    <x v="0"/>
    <x v="3"/>
    <n v="110"/>
    <n v="820"/>
    <n v="90200"/>
  </r>
  <r>
    <d v="2011-12-18T00:00:00"/>
    <x v="10"/>
    <x v="4"/>
    <x v="1"/>
    <n v="131"/>
    <n v="1200"/>
    <n v="157200"/>
  </r>
  <r>
    <d v="2011-12-26T00:00:00"/>
    <x v="10"/>
    <x v="1"/>
    <x v="3"/>
    <n v="44"/>
    <n v="950"/>
    <n v="41800"/>
  </r>
  <r>
    <d v="2012-01-04T00:00:00"/>
    <x v="10"/>
    <x v="4"/>
    <x v="1"/>
    <n v="114"/>
    <n v="1200"/>
    <n v="136800"/>
  </r>
  <r>
    <d v="2013-06-09T00:00:00"/>
    <x v="10"/>
    <x v="3"/>
    <x v="3"/>
    <n v="16"/>
    <n v="820"/>
    <n v="13120"/>
  </r>
  <r>
    <d v="2010-06-13T00:00:00"/>
    <x v="10"/>
    <x v="2"/>
    <x v="3"/>
    <n v="29"/>
    <n v="820"/>
    <n v="23780"/>
  </r>
  <r>
    <d v="2010-07-07T00:00:00"/>
    <x v="10"/>
    <x v="2"/>
    <x v="2"/>
    <n v="14"/>
    <n v="800"/>
    <n v="11200"/>
  </r>
  <r>
    <d v="2013-11-26T00:00:00"/>
    <x v="10"/>
    <x v="3"/>
    <x v="2"/>
    <n v="70"/>
    <n v="800"/>
    <n v="56000"/>
  </r>
  <r>
    <d v="2013-11-16T00:00:00"/>
    <x v="10"/>
    <x v="0"/>
    <x v="0"/>
    <n v="11"/>
    <n v="650"/>
    <n v="7150"/>
  </r>
  <r>
    <d v="2010-11-28T00:00:00"/>
    <x v="10"/>
    <x v="1"/>
    <x v="0"/>
    <n v="1"/>
    <n v="650"/>
    <n v="650"/>
  </r>
  <r>
    <d v="2012-11-28T00:00:00"/>
    <x v="10"/>
    <x v="2"/>
    <x v="1"/>
    <n v="3"/>
    <n v="1200"/>
    <n v="3600"/>
  </r>
  <r>
    <d v="2010-07-31T00:00:00"/>
    <x v="10"/>
    <x v="2"/>
    <x v="3"/>
    <n v="45"/>
    <n v="820"/>
    <n v="36900"/>
  </r>
  <r>
    <d v="2013-09-01T00:00:00"/>
    <x v="10"/>
    <x v="1"/>
    <x v="1"/>
    <n v="18"/>
    <n v="1200"/>
    <n v="21600"/>
  </r>
  <r>
    <d v="2011-04-16T00:00:00"/>
    <x v="10"/>
    <x v="4"/>
    <x v="4"/>
    <n v="106"/>
    <n v="450"/>
    <n v="47700"/>
  </r>
  <r>
    <d v="2011-04-21T00:00:00"/>
    <x v="10"/>
    <x v="5"/>
    <x v="4"/>
    <n v="15"/>
    <n v="450"/>
    <n v="6750"/>
  </r>
  <r>
    <d v="2012-11-30T00:00:00"/>
    <x v="10"/>
    <x v="1"/>
    <x v="3"/>
    <n v="9"/>
    <n v="950"/>
    <n v="8550"/>
  </r>
  <r>
    <d v="2010-07-18T00:00:00"/>
    <x v="10"/>
    <x v="0"/>
    <x v="1"/>
    <n v="109"/>
    <n v="1200"/>
    <n v="130800"/>
  </r>
  <r>
    <d v="2014-08-31T00:00:00"/>
    <x v="10"/>
    <x v="3"/>
    <x v="3"/>
    <n v="19"/>
    <n v="950"/>
    <n v="18050"/>
  </r>
  <r>
    <d v="2012-11-23T00:00:00"/>
    <x v="11"/>
    <x v="5"/>
    <x v="4"/>
    <n v="11"/>
    <n v="450"/>
    <n v="4950"/>
  </r>
  <r>
    <d v="2010-02-17T00:00:00"/>
    <x v="11"/>
    <x v="4"/>
    <x v="0"/>
    <n v="42"/>
    <n v="650"/>
    <n v="27300"/>
  </r>
  <r>
    <d v="2010-06-28T00:00:00"/>
    <x v="11"/>
    <x v="5"/>
    <x v="2"/>
    <n v="18"/>
    <n v="800"/>
    <n v="14400"/>
  </r>
  <r>
    <d v="2013-02-24T00:00:00"/>
    <x v="11"/>
    <x v="3"/>
    <x v="2"/>
    <n v="106"/>
    <n v="800"/>
    <n v="84800"/>
  </r>
  <r>
    <d v="2014-08-05T00:00:00"/>
    <x v="11"/>
    <x v="5"/>
    <x v="3"/>
    <n v="131"/>
    <n v="950"/>
    <n v="124450"/>
  </r>
  <r>
    <d v="2011-11-08T00:00:00"/>
    <x v="11"/>
    <x v="5"/>
    <x v="3"/>
    <n v="43"/>
    <n v="820"/>
    <n v="35260"/>
  </r>
  <r>
    <d v="2011-09-08T00:00:00"/>
    <x v="11"/>
    <x v="1"/>
    <x v="2"/>
    <n v="90"/>
    <n v="800"/>
    <n v="72000"/>
  </r>
  <r>
    <d v="2014-02-03T00:00:00"/>
    <x v="11"/>
    <x v="4"/>
    <x v="3"/>
    <n v="97"/>
    <n v="820"/>
    <n v="79540"/>
  </r>
  <r>
    <d v="2010-01-29T00:00:00"/>
    <x v="11"/>
    <x v="2"/>
    <x v="3"/>
    <n v="11"/>
    <n v="820"/>
    <n v="9020"/>
  </r>
  <r>
    <d v="2013-09-21T00:00:00"/>
    <x v="11"/>
    <x v="5"/>
    <x v="0"/>
    <n v="192"/>
    <n v="650"/>
    <n v="124800"/>
  </r>
  <r>
    <d v="2014-10-15T00:00:00"/>
    <x v="11"/>
    <x v="4"/>
    <x v="4"/>
    <n v="43"/>
    <n v="450"/>
    <n v="19350"/>
  </r>
  <r>
    <d v="2011-05-29T00:00:00"/>
    <x v="11"/>
    <x v="3"/>
    <x v="1"/>
    <n v="86"/>
    <n v="1200"/>
    <n v="103200"/>
  </r>
  <r>
    <d v="2014-03-24T00:00:00"/>
    <x v="11"/>
    <x v="4"/>
    <x v="3"/>
    <n v="5"/>
    <n v="950"/>
    <n v="4750"/>
  </r>
  <r>
    <d v="2010-09-04T00:00:00"/>
    <x v="11"/>
    <x v="3"/>
    <x v="3"/>
    <n v="35"/>
    <n v="950"/>
    <n v="33250"/>
  </r>
  <r>
    <d v="2010-09-23T00:00:00"/>
    <x v="11"/>
    <x v="1"/>
    <x v="4"/>
    <n v="19"/>
    <n v="450"/>
    <n v="8550"/>
  </r>
  <r>
    <d v="2011-03-07T00:00:00"/>
    <x v="11"/>
    <x v="5"/>
    <x v="2"/>
    <n v="34"/>
    <n v="800"/>
    <n v="27200"/>
  </r>
  <r>
    <d v="2012-01-11T00:00:00"/>
    <x v="11"/>
    <x v="0"/>
    <x v="1"/>
    <n v="9"/>
    <n v="1200"/>
    <n v="10800"/>
  </r>
  <r>
    <d v="2013-05-14T00:00:00"/>
    <x v="11"/>
    <x v="3"/>
    <x v="3"/>
    <n v="6"/>
    <n v="950"/>
    <n v="5700"/>
  </r>
  <r>
    <d v="2012-01-17T00:00:00"/>
    <x v="11"/>
    <x v="4"/>
    <x v="1"/>
    <n v="77"/>
    <n v="1200"/>
    <n v="92400"/>
  </r>
  <r>
    <d v="2012-10-31T00:00:00"/>
    <x v="11"/>
    <x v="1"/>
    <x v="1"/>
    <n v="49"/>
    <n v="1200"/>
    <n v="58800"/>
  </r>
  <r>
    <d v="2013-12-03T00:00:00"/>
    <x v="11"/>
    <x v="5"/>
    <x v="1"/>
    <n v="31"/>
    <n v="1200"/>
    <n v="37200"/>
  </r>
  <r>
    <d v="2011-10-08T00:00:00"/>
    <x v="11"/>
    <x v="3"/>
    <x v="3"/>
    <n v="22"/>
    <n v="820"/>
    <n v="18040"/>
  </r>
  <r>
    <d v="2014-12-10T00:00:00"/>
    <x v="11"/>
    <x v="5"/>
    <x v="2"/>
    <n v="121"/>
    <n v="800"/>
    <n v="96800"/>
  </r>
  <r>
    <d v="2011-02-02T00:00:00"/>
    <x v="11"/>
    <x v="2"/>
    <x v="0"/>
    <n v="11"/>
    <n v="650"/>
    <n v="7150"/>
  </r>
  <r>
    <d v="2010-10-06T00:00:00"/>
    <x v="11"/>
    <x v="1"/>
    <x v="1"/>
    <n v="55"/>
    <n v="1200"/>
    <n v="66000"/>
  </r>
  <r>
    <d v="2013-12-18T00:00:00"/>
    <x v="11"/>
    <x v="5"/>
    <x v="3"/>
    <n v="219"/>
    <n v="820"/>
    <n v="179580"/>
  </r>
  <r>
    <d v="2011-04-25T00:00:00"/>
    <x v="11"/>
    <x v="2"/>
    <x v="0"/>
    <n v="6"/>
    <n v="650"/>
    <n v="3900"/>
  </r>
  <r>
    <d v="2010-04-27T00:00:00"/>
    <x v="11"/>
    <x v="5"/>
    <x v="3"/>
    <n v="17"/>
    <n v="950"/>
    <n v="16150"/>
  </r>
  <r>
    <d v="2014-07-27T00:00:00"/>
    <x v="11"/>
    <x v="0"/>
    <x v="3"/>
    <n v="18"/>
    <n v="950"/>
    <n v="17100"/>
  </r>
  <r>
    <d v="2014-02-27T00:00:00"/>
    <x v="11"/>
    <x v="4"/>
    <x v="3"/>
    <n v="26"/>
    <n v="950"/>
    <n v="24700"/>
  </r>
  <r>
    <d v="2013-06-26T00:00:00"/>
    <x v="11"/>
    <x v="1"/>
    <x v="1"/>
    <n v="3"/>
    <n v="1200"/>
    <n v="3600"/>
  </r>
  <r>
    <d v="2014-12-15T00:00:00"/>
    <x v="11"/>
    <x v="1"/>
    <x v="3"/>
    <n v="27"/>
    <n v="820"/>
    <n v="22140"/>
  </r>
  <r>
    <d v="2011-08-27T00:00:00"/>
    <x v="11"/>
    <x v="2"/>
    <x v="3"/>
    <n v="8"/>
    <n v="950"/>
    <n v="7600"/>
  </r>
  <r>
    <d v="2011-11-21T00:00:00"/>
    <x v="11"/>
    <x v="0"/>
    <x v="2"/>
    <n v="56"/>
    <n v="800"/>
    <n v="44800"/>
  </r>
  <r>
    <d v="2010-10-26T00:00:00"/>
    <x v="11"/>
    <x v="3"/>
    <x v="3"/>
    <n v="32"/>
    <n v="950"/>
    <n v="30400"/>
  </r>
  <r>
    <d v="2014-06-07T00:00:00"/>
    <x v="11"/>
    <x v="3"/>
    <x v="2"/>
    <n v="25"/>
    <n v="800"/>
    <n v="20000"/>
  </r>
  <r>
    <d v="2014-08-31T00:00:00"/>
    <x v="11"/>
    <x v="1"/>
    <x v="0"/>
    <n v="4"/>
    <n v="650"/>
    <n v="2600"/>
  </r>
  <r>
    <d v="2014-09-01T00:00:00"/>
    <x v="11"/>
    <x v="2"/>
    <x v="1"/>
    <n v="16"/>
    <n v="1200"/>
    <n v="19200"/>
  </r>
  <r>
    <d v="2014-09-29T00:00:00"/>
    <x v="11"/>
    <x v="3"/>
    <x v="0"/>
    <n v="68"/>
    <n v="650"/>
    <n v="44200"/>
  </r>
  <r>
    <d v="2011-02-17T00:00:00"/>
    <x v="11"/>
    <x v="3"/>
    <x v="0"/>
    <n v="68"/>
    <n v="650"/>
    <n v="44200"/>
  </r>
  <r>
    <d v="2011-07-27T00:00:00"/>
    <x v="11"/>
    <x v="4"/>
    <x v="2"/>
    <n v="31"/>
    <n v="800"/>
    <n v="24800"/>
  </r>
  <r>
    <d v="2014-12-25T00:00:00"/>
    <x v="11"/>
    <x v="1"/>
    <x v="3"/>
    <n v="27"/>
    <n v="950"/>
    <n v="25650"/>
  </r>
  <r>
    <d v="2011-03-07T00:00:00"/>
    <x v="11"/>
    <x v="5"/>
    <x v="3"/>
    <n v="84"/>
    <n v="950"/>
    <n v="79800"/>
  </r>
  <r>
    <d v="2010-05-24T00:00:00"/>
    <x v="11"/>
    <x v="3"/>
    <x v="3"/>
    <n v="58"/>
    <n v="820"/>
    <n v="47560"/>
  </r>
  <r>
    <d v="2013-10-30T00:00:00"/>
    <x v="11"/>
    <x v="3"/>
    <x v="3"/>
    <n v="6"/>
    <n v="820"/>
    <n v="4920"/>
  </r>
  <r>
    <d v="2010-12-16T00:00:00"/>
    <x v="11"/>
    <x v="4"/>
    <x v="2"/>
    <n v="57"/>
    <n v="800"/>
    <n v="45600"/>
  </r>
  <r>
    <d v="2011-12-18T00:00:00"/>
    <x v="11"/>
    <x v="5"/>
    <x v="2"/>
    <n v="27"/>
    <n v="800"/>
    <n v="21600"/>
  </r>
  <r>
    <d v="2011-12-14T00:00:00"/>
    <x v="11"/>
    <x v="0"/>
    <x v="2"/>
    <n v="149"/>
    <n v="800"/>
    <n v="119200"/>
  </r>
  <r>
    <d v="2012-09-06T00:00:00"/>
    <x v="11"/>
    <x v="4"/>
    <x v="4"/>
    <n v="33"/>
    <n v="450"/>
    <n v="14850"/>
  </r>
  <r>
    <d v="2013-04-23T00:00:00"/>
    <x v="11"/>
    <x v="4"/>
    <x v="0"/>
    <n v="66"/>
    <n v="650"/>
    <n v="42900"/>
  </r>
  <r>
    <d v="2013-02-28T00:00:00"/>
    <x v="11"/>
    <x v="4"/>
    <x v="2"/>
    <n v="212"/>
    <n v="800"/>
    <n v="169600"/>
  </r>
  <r>
    <d v="2013-11-17T00:00:00"/>
    <x v="11"/>
    <x v="1"/>
    <x v="2"/>
    <n v="50"/>
    <n v="800"/>
    <n v="40000"/>
  </r>
  <r>
    <d v="2014-08-06T00:00:00"/>
    <x v="11"/>
    <x v="4"/>
    <x v="1"/>
    <n v="43"/>
    <n v="1200"/>
    <n v="51600"/>
  </r>
  <r>
    <d v="2014-09-27T00:00:00"/>
    <x v="11"/>
    <x v="4"/>
    <x v="0"/>
    <n v="5"/>
    <n v="650"/>
    <n v="3250"/>
  </r>
  <r>
    <d v="2010-09-19T00:00:00"/>
    <x v="11"/>
    <x v="0"/>
    <x v="4"/>
    <n v="36"/>
    <n v="450"/>
    <n v="16200"/>
  </r>
  <r>
    <d v="2012-04-15T00:00:00"/>
    <x v="11"/>
    <x v="2"/>
    <x v="1"/>
    <n v="14"/>
    <n v="1200"/>
    <n v="16800"/>
  </r>
  <r>
    <d v="2011-01-05T00:00:00"/>
    <x v="11"/>
    <x v="3"/>
    <x v="2"/>
    <n v="49"/>
    <n v="800"/>
    <n v="39200"/>
  </r>
  <r>
    <d v="2011-01-17T00:00:00"/>
    <x v="11"/>
    <x v="0"/>
    <x v="3"/>
    <n v="24"/>
    <n v="950"/>
    <n v="22800"/>
  </r>
  <r>
    <d v="2013-02-16T00:00:00"/>
    <x v="11"/>
    <x v="5"/>
    <x v="3"/>
    <n v="121"/>
    <n v="820"/>
    <n v="99220"/>
  </r>
  <r>
    <d v="2014-03-31T00:00:00"/>
    <x v="11"/>
    <x v="4"/>
    <x v="4"/>
    <n v="47"/>
    <n v="450"/>
    <n v="21150"/>
  </r>
  <r>
    <d v="2011-06-21T00:00:00"/>
    <x v="11"/>
    <x v="5"/>
    <x v="3"/>
    <n v="57"/>
    <n v="820"/>
    <n v="46740"/>
  </r>
  <r>
    <d v="2013-02-26T00:00:00"/>
    <x v="11"/>
    <x v="2"/>
    <x v="0"/>
    <n v="36"/>
    <n v="650"/>
    <n v="23400"/>
  </r>
  <r>
    <d v="2012-02-05T00:00:00"/>
    <x v="11"/>
    <x v="2"/>
    <x v="3"/>
    <n v="37"/>
    <n v="950"/>
    <n v="35150"/>
  </r>
  <r>
    <d v="2010-08-19T00:00:00"/>
    <x v="11"/>
    <x v="0"/>
    <x v="2"/>
    <n v="29"/>
    <n v="800"/>
    <n v="23200"/>
  </r>
  <r>
    <d v="2012-04-06T00:00:00"/>
    <x v="11"/>
    <x v="4"/>
    <x v="3"/>
    <n v="212"/>
    <n v="820"/>
    <n v="173840"/>
  </r>
  <r>
    <d v="2011-04-28T00:00:00"/>
    <x v="11"/>
    <x v="0"/>
    <x v="2"/>
    <n v="1"/>
    <n v="800"/>
    <n v="800"/>
  </r>
  <r>
    <d v="2013-10-31T00:00:00"/>
    <x v="11"/>
    <x v="0"/>
    <x v="3"/>
    <n v="53"/>
    <n v="820"/>
    <n v="43460"/>
  </r>
  <r>
    <d v="2014-01-26T00:00:00"/>
    <x v="11"/>
    <x v="3"/>
    <x v="2"/>
    <n v="133"/>
    <n v="800"/>
    <n v="106400"/>
  </r>
  <r>
    <d v="2012-11-04T00:00:00"/>
    <x v="11"/>
    <x v="0"/>
    <x v="3"/>
    <n v="122"/>
    <n v="950"/>
    <n v="115900"/>
  </r>
  <r>
    <d v="2010-11-14T00:00:00"/>
    <x v="11"/>
    <x v="3"/>
    <x v="2"/>
    <n v="23"/>
    <n v="800"/>
    <n v="18400"/>
  </r>
  <r>
    <d v="2014-04-27T00:00:00"/>
    <x v="11"/>
    <x v="0"/>
    <x v="0"/>
    <n v="13"/>
    <n v="650"/>
    <n v="8450"/>
  </r>
  <r>
    <d v="2012-06-11T00:00:00"/>
    <x v="11"/>
    <x v="0"/>
    <x v="1"/>
    <n v="9"/>
    <n v="1200"/>
    <n v="10800"/>
  </r>
  <r>
    <d v="2013-03-03T00:00:00"/>
    <x v="11"/>
    <x v="0"/>
    <x v="2"/>
    <n v="18"/>
    <n v="800"/>
    <n v="14400"/>
  </r>
  <r>
    <d v="2010-11-11T00:00:00"/>
    <x v="11"/>
    <x v="4"/>
    <x v="2"/>
    <n v="199"/>
    <n v="800"/>
    <n v="159200"/>
  </r>
  <r>
    <d v="2013-12-29T00:00:00"/>
    <x v="11"/>
    <x v="2"/>
    <x v="2"/>
    <n v="13"/>
    <n v="800"/>
    <n v="10400"/>
  </r>
  <r>
    <d v="2010-08-03T00:00:00"/>
    <x v="12"/>
    <x v="5"/>
    <x v="3"/>
    <n v="37"/>
    <n v="820"/>
    <n v="30340"/>
  </r>
  <r>
    <d v="2013-01-01T00:00:00"/>
    <x v="12"/>
    <x v="3"/>
    <x v="4"/>
    <n v="23"/>
    <n v="450"/>
    <n v="10350"/>
  </r>
  <r>
    <d v="2014-05-08T00:00:00"/>
    <x v="12"/>
    <x v="1"/>
    <x v="2"/>
    <n v="51"/>
    <n v="800"/>
    <n v="40800"/>
  </r>
  <r>
    <d v="2013-03-21T00:00:00"/>
    <x v="12"/>
    <x v="1"/>
    <x v="2"/>
    <n v="56"/>
    <n v="800"/>
    <n v="44800"/>
  </r>
  <r>
    <d v="2011-07-20T00:00:00"/>
    <x v="12"/>
    <x v="4"/>
    <x v="3"/>
    <n v="173"/>
    <n v="820"/>
    <n v="141860"/>
  </r>
  <r>
    <d v="2014-01-23T00:00:00"/>
    <x v="12"/>
    <x v="1"/>
    <x v="1"/>
    <n v="5"/>
    <n v="1200"/>
    <n v="6000"/>
  </r>
  <r>
    <d v="2010-08-12T00:00:00"/>
    <x v="12"/>
    <x v="0"/>
    <x v="0"/>
    <n v="78"/>
    <n v="650"/>
    <n v="50700"/>
  </r>
  <r>
    <d v="2012-10-31T00:00:00"/>
    <x v="12"/>
    <x v="5"/>
    <x v="1"/>
    <n v="50"/>
    <n v="1200"/>
    <n v="60000"/>
  </r>
  <r>
    <d v="2013-07-12T00:00:00"/>
    <x v="12"/>
    <x v="2"/>
    <x v="0"/>
    <n v="5"/>
    <n v="650"/>
    <n v="3250"/>
  </r>
  <r>
    <d v="2013-04-13T00:00:00"/>
    <x v="12"/>
    <x v="1"/>
    <x v="0"/>
    <n v="23"/>
    <n v="650"/>
    <n v="14950"/>
  </r>
  <r>
    <d v="2012-07-15T00:00:00"/>
    <x v="12"/>
    <x v="3"/>
    <x v="3"/>
    <n v="62"/>
    <n v="950"/>
    <n v="58900"/>
  </r>
  <r>
    <d v="2012-06-18T00:00:00"/>
    <x v="12"/>
    <x v="4"/>
    <x v="4"/>
    <n v="44"/>
    <n v="450"/>
    <n v="19800"/>
  </r>
  <r>
    <d v="2011-07-28T00:00:00"/>
    <x v="12"/>
    <x v="0"/>
    <x v="3"/>
    <n v="29"/>
    <n v="820"/>
    <n v="23780"/>
  </r>
  <r>
    <d v="2010-06-17T00:00:00"/>
    <x v="12"/>
    <x v="3"/>
    <x v="2"/>
    <n v="35"/>
    <n v="800"/>
    <n v="28000"/>
  </r>
  <r>
    <d v="2014-10-22T00:00:00"/>
    <x v="12"/>
    <x v="5"/>
    <x v="1"/>
    <n v="42"/>
    <n v="1200"/>
    <n v="50400"/>
  </r>
  <r>
    <d v="2012-05-18T00:00:00"/>
    <x v="12"/>
    <x v="0"/>
    <x v="1"/>
    <n v="56"/>
    <n v="1200"/>
    <n v="67200"/>
  </r>
  <r>
    <d v="2012-11-04T00:00:00"/>
    <x v="12"/>
    <x v="3"/>
    <x v="1"/>
    <n v="93"/>
    <n v="1200"/>
    <n v="111600"/>
  </r>
  <r>
    <d v="2010-02-28T00:00:00"/>
    <x v="12"/>
    <x v="4"/>
    <x v="3"/>
    <n v="22"/>
    <n v="950"/>
    <n v="20900"/>
  </r>
  <r>
    <d v="2010-03-26T00:00:00"/>
    <x v="12"/>
    <x v="1"/>
    <x v="3"/>
    <n v="1"/>
    <n v="820"/>
    <n v="820"/>
  </r>
  <r>
    <d v="2012-11-15T00:00:00"/>
    <x v="12"/>
    <x v="4"/>
    <x v="3"/>
    <n v="139"/>
    <n v="820"/>
    <n v="113980"/>
  </r>
  <r>
    <d v="2014-10-01T00:00:00"/>
    <x v="12"/>
    <x v="5"/>
    <x v="2"/>
    <n v="44"/>
    <n v="800"/>
    <n v="35200"/>
  </r>
  <r>
    <d v="2010-07-27T00:00:00"/>
    <x v="12"/>
    <x v="2"/>
    <x v="2"/>
    <n v="18"/>
    <n v="800"/>
    <n v="14400"/>
  </r>
  <r>
    <d v="2014-12-23T00:00:00"/>
    <x v="12"/>
    <x v="2"/>
    <x v="1"/>
    <n v="5"/>
    <n v="1200"/>
    <n v="6000"/>
  </r>
  <r>
    <d v="2014-01-10T00:00:00"/>
    <x v="12"/>
    <x v="2"/>
    <x v="1"/>
    <n v="1"/>
    <n v="1200"/>
    <n v="1200"/>
  </r>
  <r>
    <d v="2010-08-14T00:00:00"/>
    <x v="12"/>
    <x v="3"/>
    <x v="2"/>
    <n v="58"/>
    <n v="800"/>
    <n v="46400"/>
  </r>
  <r>
    <d v="2014-07-29T00:00:00"/>
    <x v="12"/>
    <x v="4"/>
    <x v="2"/>
    <n v="15"/>
    <n v="800"/>
    <n v="12000"/>
  </r>
  <r>
    <d v="2010-12-17T00:00:00"/>
    <x v="12"/>
    <x v="0"/>
    <x v="3"/>
    <n v="28"/>
    <n v="820"/>
    <n v="22960"/>
  </r>
  <r>
    <d v="2010-12-30T00:00:00"/>
    <x v="12"/>
    <x v="4"/>
    <x v="2"/>
    <n v="97"/>
    <n v="800"/>
    <n v="77600"/>
  </r>
  <r>
    <d v="2012-08-06T00:00:00"/>
    <x v="12"/>
    <x v="5"/>
    <x v="2"/>
    <n v="211"/>
    <n v="800"/>
    <n v="168800"/>
  </r>
  <r>
    <d v="2011-02-10T00:00:00"/>
    <x v="12"/>
    <x v="0"/>
    <x v="3"/>
    <n v="3"/>
    <n v="820"/>
    <n v="2460"/>
  </r>
  <r>
    <d v="2014-06-08T00:00:00"/>
    <x v="12"/>
    <x v="5"/>
    <x v="1"/>
    <n v="81"/>
    <n v="1200"/>
    <n v="97200"/>
  </r>
  <r>
    <d v="2011-11-25T00:00:00"/>
    <x v="12"/>
    <x v="0"/>
    <x v="3"/>
    <n v="79"/>
    <n v="820"/>
    <n v="64780"/>
  </r>
  <r>
    <d v="2011-12-07T00:00:00"/>
    <x v="12"/>
    <x v="0"/>
    <x v="2"/>
    <n v="52"/>
    <n v="800"/>
    <n v="41600"/>
  </r>
  <r>
    <d v="2010-11-13T00:00:00"/>
    <x v="12"/>
    <x v="5"/>
    <x v="2"/>
    <n v="1"/>
    <n v="800"/>
    <n v="800"/>
  </r>
  <r>
    <d v="2014-02-27T00:00:00"/>
    <x v="12"/>
    <x v="0"/>
    <x v="0"/>
    <n v="6"/>
    <n v="650"/>
    <n v="3900"/>
  </r>
  <r>
    <d v="2011-12-16T00:00:00"/>
    <x v="12"/>
    <x v="5"/>
    <x v="3"/>
    <n v="25"/>
    <n v="820"/>
    <n v="20500"/>
  </r>
  <r>
    <d v="2013-05-25T00:00:00"/>
    <x v="12"/>
    <x v="5"/>
    <x v="2"/>
    <n v="115"/>
    <n v="800"/>
    <n v="92000"/>
  </r>
  <r>
    <d v="2010-05-03T00:00:00"/>
    <x v="12"/>
    <x v="3"/>
    <x v="3"/>
    <n v="1"/>
    <n v="820"/>
    <n v="820"/>
  </r>
  <r>
    <d v="2013-02-08T00:00:00"/>
    <x v="12"/>
    <x v="1"/>
    <x v="3"/>
    <n v="55"/>
    <n v="950"/>
    <n v="52250"/>
  </r>
  <r>
    <d v="2012-02-01T00:00:00"/>
    <x v="12"/>
    <x v="2"/>
    <x v="3"/>
    <n v="4"/>
    <n v="950"/>
    <n v="3800"/>
  </r>
  <r>
    <d v="2012-04-17T00:00:00"/>
    <x v="12"/>
    <x v="1"/>
    <x v="0"/>
    <n v="21"/>
    <n v="650"/>
    <n v="13650"/>
  </r>
  <r>
    <d v="2014-12-08T00:00:00"/>
    <x v="12"/>
    <x v="5"/>
    <x v="1"/>
    <n v="14"/>
    <n v="1200"/>
    <n v="16800"/>
  </r>
  <r>
    <d v="2014-02-25T00:00:00"/>
    <x v="12"/>
    <x v="5"/>
    <x v="3"/>
    <n v="144"/>
    <n v="820"/>
    <n v="118080"/>
  </r>
  <r>
    <d v="2011-05-05T00:00:00"/>
    <x v="12"/>
    <x v="4"/>
    <x v="1"/>
    <n v="173"/>
    <n v="1200"/>
    <n v="207600"/>
  </r>
  <r>
    <d v="2010-07-17T00:00:00"/>
    <x v="12"/>
    <x v="5"/>
    <x v="4"/>
    <n v="98"/>
    <n v="450"/>
    <n v="44100"/>
  </r>
  <r>
    <d v="2014-10-24T00:00:00"/>
    <x v="12"/>
    <x v="0"/>
    <x v="2"/>
    <n v="35"/>
    <n v="800"/>
    <n v="28000"/>
  </r>
  <r>
    <d v="2010-09-20T00:00:00"/>
    <x v="12"/>
    <x v="2"/>
    <x v="3"/>
    <n v="43"/>
    <n v="820"/>
    <n v="35260"/>
  </r>
  <r>
    <d v="2010-10-09T00:00:00"/>
    <x v="12"/>
    <x v="2"/>
    <x v="3"/>
    <n v="1"/>
    <n v="820"/>
    <n v="820"/>
  </r>
  <r>
    <d v="2013-08-14T00:00:00"/>
    <x v="13"/>
    <x v="5"/>
    <x v="1"/>
    <n v="114"/>
    <n v="1200"/>
    <n v="136800"/>
  </r>
  <r>
    <d v="2013-02-14T00:00:00"/>
    <x v="13"/>
    <x v="5"/>
    <x v="2"/>
    <n v="47"/>
    <n v="800"/>
    <n v="37600"/>
  </r>
  <r>
    <d v="2013-07-12T00:00:00"/>
    <x v="13"/>
    <x v="1"/>
    <x v="3"/>
    <n v="79"/>
    <n v="820"/>
    <n v="64780"/>
  </r>
  <r>
    <d v="2010-08-26T00:00:00"/>
    <x v="13"/>
    <x v="4"/>
    <x v="4"/>
    <n v="31"/>
    <n v="450"/>
    <n v="13950"/>
  </r>
  <r>
    <d v="2012-10-01T00:00:00"/>
    <x v="13"/>
    <x v="1"/>
    <x v="2"/>
    <n v="10"/>
    <n v="800"/>
    <n v="8000"/>
  </r>
  <r>
    <d v="2010-09-22T00:00:00"/>
    <x v="13"/>
    <x v="1"/>
    <x v="3"/>
    <n v="3"/>
    <n v="820"/>
    <n v="2460"/>
  </r>
  <r>
    <d v="2014-08-03T00:00:00"/>
    <x v="13"/>
    <x v="5"/>
    <x v="1"/>
    <n v="129"/>
    <n v="1200"/>
    <n v="154800"/>
  </r>
  <r>
    <d v="2014-10-01T00:00:00"/>
    <x v="13"/>
    <x v="0"/>
    <x v="3"/>
    <n v="2"/>
    <n v="820"/>
    <n v="1640"/>
  </r>
  <r>
    <d v="2010-05-26T00:00:00"/>
    <x v="13"/>
    <x v="1"/>
    <x v="3"/>
    <n v="2"/>
    <n v="950"/>
    <n v="1900"/>
  </r>
  <r>
    <d v="2011-11-06T00:00:00"/>
    <x v="13"/>
    <x v="2"/>
    <x v="1"/>
    <n v="9"/>
    <n v="1200"/>
    <n v="10800"/>
  </r>
  <r>
    <d v="2014-12-17T00:00:00"/>
    <x v="13"/>
    <x v="2"/>
    <x v="0"/>
    <n v="17"/>
    <n v="650"/>
    <n v="11050"/>
  </r>
  <r>
    <d v="2014-06-17T00:00:00"/>
    <x v="13"/>
    <x v="4"/>
    <x v="0"/>
    <n v="39"/>
    <n v="650"/>
    <n v="25350"/>
  </r>
  <r>
    <d v="2011-01-18T00:00:00"/>
    <x v="13"/>
    <x v="2"/>
    <x v="3"/>
    <n v="13"/>
    <n v="820"/>
    <n v="10660"/>
  </r>
  <r>
    <d v="2013-09-15T00:00:00"/>
    <x v="13"/>
    <x v="0"/>
    <x v="2"/>
    <n v="28"/>
    <n v="800"/>
    <n v="22400"/>
  </r>
  <r>
    <d v="2014-07-05T00:00:00"/>
    <x v="13"/>
    <x v="1"/>
    <x v="0"/>
    <n v="30"/>
    <n v="650"/>
    <n v="19500"/>
  </r>
  <r>
    <d v="2011-06-02T00:00:00"/>
    <x v="13"/>
    <x v="3"/>
    <x v="2"/>
    <n v="3"/>
    <n v="800"/>
    <n v="2400"/>
  </r>
  <r>
    <d v="2012-05-16T00:00:00"/>
    <x v="13"/>
    <x v="2"/>
    <x v="3"/>
    <n v="6"/>
    <n v="950"/>
    <n v="5700"/>
  </r>
  <r>
    <d v="2012-03-10T00:00:00"/>
    <x v="13"/>
    <x v="4"/>
    <x v="3"/>
    <n v="41"/>
    <n v="950"/>
    <n v="38950"/>
  </r>
  <r>
    <d v="2012-11-23T00:00:00"/>
    <x v="13"/>
    <x v="0"/>
    <x v="2"/>
    <n v="8"/>
    <n v="800"/>
    <n v="6400"/>
  </r>
  <r>
    <d v="2014-11-04T00:00:00"/>
    <x v="13"/>
    <x v="5"/>
    <x v="0"/>
    <n v="82"/>
    <n v="650"/>
    <n v="53300"/>
  </r>
  <r>
    <d v="2014-11-28T00:00:00"/>
    <x v="13"/>
    <x v="5"/>
    <x v="3"/>
    <n v="44"/>
    <n v="820"/>
    <n v="36080"/>
  </r>
  <r>
    <d v="2012-09-10T00:00:00"/>
    <x v="13"/>
    <x v="2"/>
    <x v="4"/>
    <n v="4"/>
    <n v="450"/>
    <n v="1800"/>
  </r>
  <r>
    <d v="2011-12-02T00:00:00"/>
    <x v="13"/>
    <x v="4"/>
    <x v="2"/>
    <n v="12"/>
    <n v="800"/>
    <n v="9600"/>
  </r>
  <r>
    <d v="2013-09-14T00:00:00"/>
    <x v="13"/>
    <x v="3"/>
    <x v="3"/>
    <n v="13"/>
    <n v="950"/>
    <n v="12350"/>
  </r>
  <r>
    <d v="2011-09-06T00:00:00"/>
    <x v="13"/>
    <x v="5"/>
    <x v="3"/>
    <n v="107"/>
    <n v="820"/>
    <n v="87740"/>
  </r>
  <r>
    <d v="2013-08-25T00:00:00"/>
    <x v="13"/>
    <x v="4"/>
    <x v="3"/>
    <n v="273"/>
    <n v="950"/>
    <n v="259350"/>
  </r>
  <r>
    <d v="2010-07-08T00:00:00"/>
    <x v="13"/>
    <x v="1"/>
    <x v="2"/>
    <n v="29"/>
    <n v="800"/>
    <n v="23200"/>
  </r>
  <r>
    <d v="2013-08-17T00:00:00"/>
    <x v="13"/>
    <x v="2"/>
    <x v="3"/>
    <n v="22"/>
    <n v="820"/>
    <n v="18040"/>
  </r>
  <r>
    <d v="2010-03-20T00:00:00"/>
    <x v="13"/>
    <x v="2"/>
    <x v="3"/>
    <n v="22"/>
    <n v="950"/>
    <n v="20900"/>
  </r>
  <r>
    <d v="2014-03-20T00:00:00"/>
    <x v="13"/>
    <x v="0"/>
    <x v="4"/>
    <n v="33"/>
    <n v="450"/>
    <n v="14850"/>
  </r>
  <r>
    <d v="2011-03-27T00:00:00"/>
    <x v="13"/>
    <x v="0"/>
    <x v="3"/>
    <n v="48"/>
    <n v="820"/>
    <n v="39360"/>
  </r>
  <r>
    <d v="2011-04-15T00:00:00"/>
    <x v="13"/>
    <x v="4"/>
    <x v="2"/>
    <n v="115"/>
    <n v="800"/>
    <n v="92000"/>
  </r>
  <r>
    <d v="2011-10-31T00:00:00"/>
    <x v="13"/>
    <x v="1"/>
    <x v="2"/>
    <n v="34"/>
    <n v="800"/>
    <n v="27200"/>
  </r>
  <r>
    <d v="2014-12-05T00:00:00"/>
    <x v="13"/>
    <x v="0"/>
    <x v="3"/>
    <n v="24"/>
    <n v="950"/>
    <n v="22800"/>
  </r>
  <r>
    <d v="2012-06-03T00:00:00"/>
    <x v="13"/>
    <x v="5"/>
    <x v="2"/>
    <n v="134"/>
    <n v="800"/>
    <n v="107200"/>
  </r>
  <r>
    <d v="2011-08-27T00:00:00"/>
    <x v="13"/>
    <x v="5"/>
    <x v="0"/>
    <n v="149"/>
    <n v="650"/>
    <n v="96850"/>
  </r>
  <r>
    <d v="2013-10-10T00:00:00"/>
    <x v="13"/>
    <x v="0"/>
    <x v="2"/>
    <n v="6"/>
    <n v="800"/>
    <n v="4800"/>
  </r>
  <r>
    <d v="2014-10-11T00:00:00"/>
    <x v="13"/>
    <x v="1"/>
    <x v="3"/>
    <n v="19"/>
    <n v="820"/>
    <n v="15580"/>
  </r>
  <r>
    <d v="2010-11-29T00:00:00"/>
    <x v="13"/>
    <x v="0"/>
    <x v="0"/>
    <n v="41"/>
    <n v="650"/>
    <n v="26650"/>
  </r>
  <r>
    <d v="2013-03-28T00:00:00"/>
    <x v="13"/>
    <x v="2"/>
    <x v="4"/>
    <n v="11"/>
    <n v="450"/>
    <n v="4950"/>
  </r>
  <r>
    <d v="2012-05-21T00:00:00"/>
    <x v="13"/>
    <x v="5"/>
    <x v="3"/>
    <n v="123"/>
    <n v="950"/>
    <n v="116850"/>
  </r>
  <r>
    <d v="2011-02-27T00:00:00"/>
    <x v="13"/>
    <x v="2"/>
    <x v="3"/>
    <n v="4"/>
    <n v="820"/>
    <n v="3280"/>
  </r>
  <r>
    <d v="2014-09-09T00:00:00"/>
    <x v="13"/>
    <x v="3"/>
    <x v="1"/>
    <n v="151"/>
    <n v="1200"/>
    <n v="181200"/>
  </r>
  <r>
    <d v="2011-07-07T00:00:00"/>
    <x v="13"/>
    <x v="2"/>
    <x v="1"/>
    <n v="16"/>
    <n v="1200"/>
    <n v="19200"/>
  </r>
  <r>
    <d v="2010-03-20T00:00:00"/>
    <x v="13"/>
    <x v="3"/>
    <x v="3"/>
    <n v="15"/>
    <n v="820"/>
    <n v="12300"/>
  </r>
  <r>
    <d v="2011-11-18T00:00:00"/>
    <x v="13"/>
    <x v="0"/>
    <x v="2"/>
    <n v="41"/>
    <n v="800"/>
    <n v="32800"/>
  </r>
  <r>
    <d v="2012-03-12T00:00:00"/>
    <x v="13"/>
    <x v="0"/>
    <x v="4"/>
    <n v="58"/>
    <n v="450"/>
    <n v="26100"/>
  </r>
  <r>
    <d v="2014-07-16T00:00:00"/>
    <x v="13"/>
    <x v="0"/>
    <x v="2"/>
    <n v="2"/>
    <n v="800"/>
    <n v="1600"/>
  </r>
  <r>
    <d v="2013-06-08T00:00:00"/>
    <x v="13"/>
    <x v="2"/>
    <x v="0"/>
    <n v="1"/>
    <n v="650"/>
    <n v="650"/>
  </r>
  <r>
    <d v="2011-11-12T00:00:00"/>
    <x v="13"/>
    <x v="2"/>
    <x v="0"/>
    <n v="7"/>
    <n v="650"/>
    <n v="4550"/>
  </r>
  <r>
    <d v="2013-04-14T00:00:00"/>
    <x v="13"/>
    <x v="5"/>
    <x v="2"/>
    <n v="78"/>
    <n v="800"/>
    <n v="62400"/>
  </r>
  <r>
    <d v="2014-06-10T00:00:00"/>
    <x v="13"/>
    <x v="4"/>
    <x v="3"/>
    <n v="27"/>
    <n v="950"/>
    <n v="25650"/>
  </r>
  <r>
    <d v="2013-01-31T00:00:00"/>
    <x v="13"/>
    <x v="2"/>
    <x v="3"/>
    <n v="11"/>
    <n v="820"/>
    <n v="9020"/>
  </r>
  <r>
    <d v="2014-03-15T00:00:00"/>
    <x v="13"/>
    <x v="2"/>
    <x v="1"/>
    <n v="14"/>
    <n v="1200"/>
    <n v="16800"/>
  </r>
  <r>
    <d v="2014-02-15T00:00:00"/>
    <x v="13"/>
    <x v="0"/>
    <x v="3"/>
    <n v="71"/>
    <n v="820"/>
    <n v="58220"/>
  </r>
  <r>
    <d v="2011-02-19T00:00:00"/>
    <x v="13"/>
    <x v="2"/>
    <x v="3"/>
    <n v="11"/>
    <n v="820"/>
    <n v="9020"/>
  </r>
  <r>
    <d v="2012-04-19T00:00:00"/>
    <x v="13"/>
    <x v="0"/>
    <x v="2"/>
    <n v="23"/>
    <n v="800"/>
    <n v="18400"/>
  </r>
  <r>
    <d v="2012-06-26T00:00:00"/>
    <x v="13"/>
    <x v="4"/>
    <x v="2"/>
    <n v="93"/>
    <n v="800"/>
    <n v="74400"/>
  </r>
  <r>
    <d v="2011-07-17T00:00:00"/>
    <x v="13"/>
    <x v="0"/>
    <x v="4"/>
    <n v="26"/>
    <n v="450"/>
    <n v="11700"/>
  </r>
  <r>
    <d v="2013-07-16T00:00:00"/>
    <x v="13"/>
    <x v="2"/>
    <x v="3"/>
    <n v="2"/>
    <n v="820"/>
    <n v="1640"/>
  </r>
  <r>
    <d v="2012-08-15T00:00:00"/>
    <x v="13"/>
    <x v="4"/>
    <x v="4"/>
    <n v="88"/>
    <n v="450"/>
    <n v="39600"/>
  </r>
  <r>
    <d v="2010-06-11T00:00:00"/>
    <x v="13"/>
    <x v="0"/>
    <x v="4"/>
    <n v="96"/>
    <n v="450"/>
    <n v="43200"/>
  </r>
  <r>
    <d v="2011-08-02T00:00:00"/>
    <x v="13"/>
    <x v="1"/>
    <x v="0"/>
    <n v="3"/>
    <n v="650"/>
    <n v="1950"/>
  </r>
  <r>
    <d v="2012-12-18T00:00:00"/>
    <x v="13"/>
    <x v="2"/>
    <x v="3"/>
    <n v="20"/>
    <n v="950"/>
    <n v="19000"/>
  </r>
  <r>
    <d v="2013-01-22T00:00:00"/>
    <x v="14"/>
    <x v="0"/>
    <x v="2"/>
    <n v="1"/>
    <n v="800"/>
    <n v="800"/>
  </r>
  <r>
    <d v="2012-11-20T00:00:00"/>
    <x v="14"/>
    <x v="1"/>
    <x v="1"/>
    <n v="57"/>
    <n v="1200"/>
    <n v="68400"/>
  </r>
  <r>
    <d v="2014-12-31T00:00:00"/>
    <x v="14"/>
    <x v="5"/>
    <x v="2"/>
    <n v="63"/>
    <n v="800"/>
    <n v="50400"/>
  </r>
  <r>
    <d v="2011-10-12T00:00:00"/>
    <x v="14"/>
    <x v="3"/>
    <x v="3"/>
    <n v="148"/>
    <n v="950"/>
    <n v="140600"/>
  </r>
  <r>
    <d v="2014-05-07T00:00:00"/>
    <x v="14"/>
    <x v="2"/>
    <x v="1"/>
    <n v="10"/>
    <n v="1200"/>
    <n v="12000"/>
  </r>
  <r>
    <d v="2010-03-21T00:00:00"/>
    <x v="14"/>
    <x v="1"/>
    <x v="1"/>
    <n v="95"/>
    <n v="1200"/>
    <n v="114000"/>
  </r>
  <r>
    <d v="2013-06-22T00:00:00"/>
    <x v="14"/>
    <x v="1"/>
    <x v="2"/>
    <n v="18"/>
    <n v="800"/>
    <n v="14400"/>
  </r>
  <r>
    <d v="2011-11-02T00:00:00"/>
    <x v="14"/>
    <x v="0"/>
    <x v="1"/>
    <n v="19"/>
    <n v="1200"/>
    <n v="22800"/>
  </r>
  <r>
    <d v="2011-02-13T00:00:00"/>
    <x v="14"/>
    <x v="3"/>
    <x v="1"/>
    <n v="50"/>
    <n v="1200"/>
    <n v="60000"/>
  </r>
  <r>
    <d v="2014-06-14T00:00:00"/>
    <x v="14"/>
    <x v="3"/>
    <x v="3"/>
    <n v="54"/>
    <n v="820"/>
    <n v="44280"/>
  </r>
  <r>
    <d v="2012-08-03T00:00:00"/>
    <x v="14"/>
    <x v="5"/>
    <x v="1"/>
    <n v="35"/>
    <n v="1200"/>
    <n v="42000"/>
  </r>
  <r>
    <d v="2010-11-08T00:00:00"/>
    <x v="14"/>
    <x v="3"/>
    <x v="4"/>
    <n v="27"/>
    <n v="450"/>
    <n v="12150"/>
  </r>
  <r>
    <d v="2013-11-18T00:00:00"/>
    <x v="14"/>
    <x v="3"/>
    <x v="1"/>
    <n v="141"/>
    <n v="1200"/>
    <n v="169200"/>
  </r>
  <r>
    <d v="2014-07-02T00:00:00"/>
    <x v="14"/>
    <x v="5"/>
    <x v="4"/>
    <n v="3"/>
    <n v="450"/>
    <n v="1350"/>
  </r>
  <r>
    <d v="2014-07-04T00:00:00"/>
    <x v="14"/>
    <x v="5"/>
    <x v="0"/>
    <n v="186"/>
    <n v="650"/>
    <n v="120900"/>
  </r>
  <r>
    <d v="2013-04-27T00:00:00"/>
    <x v="14"/>
    <x v="0"/>
    <x v="3"/>
    <n v="3"/>
    <n v="950"/>
    <n v="2850"/>
  </r>
  <r>
    <d v="2010-02-13T00:00:00"/>
    <x v="14"/>
    <x v="5"/>
    <x v="3"/>
    <n v="4"/>
    <n v="950"/>
    <n v="3800"/>
  </r>
  <r>
    <d v="2010-09-22T00:00:00"/>
    <x v="14"/>
    <x v="0"/>
    <x v="2"/>
    <n v="3"/>
    <n v="800"/>
    <n v="2400"/>
  </r>
  <r>
    <d v="2014-11-24T00:00:00"/>
    <x v="14"/>
    <x v="4"/>
    <x v="1"/>
    <n v="151"/>
    <n v="1200"/>
    <n v="181200"/>
  </r>
  <r>
    <d v="2013-08-07T00:00:00"/>
    <x v="14"/>
    <x v="0"/>
    <x v="1"/>
    <n v="75"/>
    <n v="1200"/>
    <n v="90000"/>
  </r>
  <r>
    <d v="2013-01-07T00:00:00"/>
    <x v="14"/>
    <x v="3"/>
    <x v="0"/>
    <n v="38"/>
    <n v="650"/>
    <n v="24700"/>
  </r>
  <r>
    <d v="2010-04-28T00:00:00"/>
    <x v="14"/>
    <x v="1"/>
    <x v="2"/>
    <n v="9"/>
    <n v="800"/>
    <n v="7200"/>
  </r>
  <r>
    <d v="2010-11-19T00:00:00"/>
    <x v="14"/>
    <x v="2"/>
    <x v="3"/>
    <n v="18"/>
    <n v="820"/>
    <n v="14760"/>
  </r>
  <r>
    <d v="2012-11-14T00:00:00"/>
    <x v="14"/>
    <x v="1"/>
    <x v="4"/>
    <n v="35"/>
    <n v="450"/>
    <n v="15750"/>
  </r>
  <r>
    <d v="2011-07-23T00:00:00"/>
    <x v="14"/>
    <x v="5"/>
    <x v="4"/>
    <n v="107"/>
    <n v="450"/>
    <n v="48150"/>
  </r>
  <r>
    <d v="2010-09-07T00:00:00"/>
    <x v="14"/>
    <x v="3"/>
    <x v="4"/>
    <n v="6"/>
    <n v="450"/>
    <n v="2700"/>
  </r>
  <r>
    <d v="2011-08-19T00:00:00"/>
    <x v="14"/>
    <x v="5"/>
    <x v="3"/>
    <n v="121"/>
    <n v="950"/>
    <n v="114950"/>
  </r>
  <r>
    <d v="2011-01-04T00:00:00"/>
    <x v="14"/>
    <x v="3"/>
    <x v="2"/>
    <n v="112"/>
    <n v="800"/>
    <n v="89600"/>
  </r>
  <r>
    <d v="2011-05-03T00:00:00"/>
    <x v="14"/>
    <x v="2"/>
    <x v="3"/>
    <n v="16"/>
    <n v="950"/>
    <n v="15200"/>
  </r>
  <r>
    <d v="2011-05-11T00:00:00"/>
    <x v="14"/>
    <x v="4"/>
    <x v="3"/>
    <n v="202"/>
    <n v="820"/>
    <n v="165640"/>
  </r>
  <r>
    <d v="2014-12-09T00:00:00"/>
    <x v="14"/>
    <x v="3"/>
    <x v="1"/>
    <n v="139"/>
    <n v="1200"/>
    <n v="166800"/>
  </r>
  <r>
    <d v="2011-02-28T00:00:00"/>
    <x v="14"/>
    <x v="3"/>
    <x v="3"/>
    <n v="9"/>
    <n v="820"/>
    <n v="7380"/>
  </r>
  <r>
    <d v="2011-09-25T00:00:00"/>
    <x v="14"/>
    <x v="3"/>
    <x v="4"/>
    <n v="32"/>
    <n v="450"/>
    <n v="14400"/>
  </r>
  <r>
    <d v="2012-08-23T00:00:00"/>
    <x v="14"/>
    <x v="3"/>
    <x v="3"/>
    <n v="39"/>
    <n v="820"/>
    <n v="31980"/>
  </r>
  <r>
    <d v="2010-01-07T00:00:00"/>
    <x v="14"/>
    <x v="0"/>
    <x v="0"/>
    <n v="111"/>
    <n v="650"/>
    <n v="72150"/>
  </r>
  <r>
    <d v="2011-04-05T00:00:00"/>
    <x v="14"/>
    <x v="4"/>
    <x v="3"/>
    <n v="241"/>
    <n v="820"/>
    <n v="197620"/>
  </r>
  <r>
    <d v="2013-10-17T00:00:00"/>
    <x v="14"/>
    <x v="2"/>
    <x v="2"/>
    <n v="31"/>
    <n v="800"/>
    <n v="24800"/>
  </r>
  <r>
    <d v="2012-07-25T00:00:00"/>
    <x v="14"/>
    <x v="0"/>
    <x v="2"/>
    <n v="37"/>
    <n v="800"/>
    <n v="29600"/>
  </r>
  <r>
    <d v="2013-04-07T00:00:00"/>
    <x v="14"/>
    <x v="1"/>
    <x v="1"/>
    <n v="53"/>
    <n v="1200"/>
    <n v="63600"/>
  </r>
  <r>
    <d v="2013-06-02T00:00:00"/>
    <x v="14"/>
    <x v="3"/>
    <x v="4"/>
    <n v="54"/>
    <n v="450"/>
    <n v="24300"/>
  </r>
  <r>
    <d v="2010-08-17T00:00:00"/>
    <x v="14"/>
    <x v="4"/>
    <x v="3"/>
    <n v="125"/>
    <n v="820"/>
    <n v="102500"/>
  </r>
  <r>
    <d v="2010-07-26T00:00:00"/>
    <x v="14"/>
    <x v="5"/>
    <x v="2"/>
    <n v="75"/>
    <n v="800"/>
    <n v="60000"/>
  </r>
  <r>
    <d v="2014-08-27T00:00:00"/>
    <x v="14"/>
    <x v="2"/>
    <x v="1"/>
    <n v="16"/>
    <n v="1200"/>
    <n v="19200"/>
  </r>
  <r>
    <d v="2010-02-04T00:00:00"/>
    <x v="14"/>
    <x v="0"/>
    <x v="2"/>
    <n v="116"/>
    <n v="800"/>
    <n v="92800"/>
  </r>
  <r>
    <d v="2014-09-02T00:00:00"/>
    <x v="14"/>
    <x v="3"/>
    <x v="0"/>
    <n v="74"/>
    <n v="650"/>
    <n v="48100"/>
  </r>
  <r>
    <d v="2013-02-21T00:00:00"/>
    <x v="14"/>
    <x v="0"/>
    <x v="1"/>
    <n v="33"/>
    <n v="1200"/>
    <n v="39600"/>
  </r>
  <r>
    <d v="2012-02-28T00:00:00"/>
    <x v="14"/>
    <x v="4"/>
    <x v="2"/>
    <n v="42"/>
    <n v="800"/>
    <n v="33600"/>
  </r>
  <r>
    <d v="2012-07-23T00:00:00"/>
    <x v="14"/>
    <x v="4"/>
    <x v="1"/>
    <n v="6"/>
    <n v="1200"/>
    <n v="7200"/>
  </r>
  <r>
    <d v="2013-04-08T00:00:00"/>
    <x v="14"/>
    <x v="1"/>
    <x v="0"/>
    <n v="42"/>
    <n v="650"/>
    <n v="27300"/>
  </r>
  <r>
    <d v="2011-04-02T00:00:00"/>
    <x v="14"/>
    <x v="3"/>
    <x v="3"/>
    <n v="1"/>
    <n v="950"/>
    <n v="950"/>
  </r>
  <r>
    <d v="2010-04-18T00:00:00"/>
    <x v="14"/>
    <x v="1"/>
    <x v="2"/>
    <n v="48"/>
    <n v="800"/>
    <n v="38400"/>
  </r>
  <r>
    <d v="2014-04-23T00:00:00"/>
    <x v="14"/>
    <x v="4"/>
    <x v="4"/>
    <n v="46"/>
    <n v="450"/>
    <n v="20700"/>
  </r>
  <r>
    <d v="2010-05-14T00:00:00"/>
    <x v="14"/>
    <x v="5"/>
    <x v="0"/>
    <n v="27"/>
    <n v="650"/>
    <n v="17550"/>
  </r>
  <r>
    <d v="2013-02-12T00:00:00"/>
    <x v="14"/>
    <x v="3"/>
    <x v="0"/>
    <n v="72"/>
    <n v="650"/>
    <n v="46800"/>
  </r>
  <r>
    <d v="2011-03-17T00:00:00"/>
    <x v="14"/>
    <x v="1"/>
    <x v="2"/>
    <n v="8"/>
    <n v="800"/>
    <n v="6400"/>
  </r>
  <r>
    <d v="2011-09-05T00:00:00"/>
    <x v="14"/>
    <x v="4"/>
    <x v="4"/>
    <n v="28"/>
    <n v="450"/>
    <n v="12600"/>
  </r>
  <r>
    <d v="2010-08-16T00:00:00"/>
    <x v="14"/>
    <x v="4"/>
    <x v="4"/>
    <n v="116"/>
    <n v="450"/>
    <n v="52200"/>
  </r>
  <r>
    <d v="2010-05-30T00:00:00"/>
    <x v="15"/>
    <x v="4"/>
    <x v="2"/>
    <n v="56"/>
    <n v="800"/>
    <n v="44800"/>
  </r>
  <r>
    <d v="2011-09-21T00:00:00"/>
    <x v="15"/>
    <x v="4"/>
    <x v="2"/>
    <n v="99"/>
    <n v="800"/>
    <n v="79200"/>
  </r>
  <r>
    <d v="2011-03-30T00:00:00"/>
    <x v="15"/>
    <x v="1"/>
    <x v="2"/>
    <n v="47"/>
    <n v="800"/>
    <n v="37600"/>
  </r>
  <r>
    <d v="2013-08-02T00:00:00"/>
    <x v="15"/>
    <x v="4"/>
    <x v="1"/>
    <n v="47"/>
    <n v="1200"/>
    <n v="56400"/>
  </r>
  <r>
    <d v="2011-03-12T00:00:00"/>
    <x v="15"/>
    <x v="3"/>
    <x v="2"/>
    <n v="91"/>
    <n v="800"/>
    <n v="72800"/>
  </r>
  <r>
    <d v="2012-03-13T00:00:00"/>
    <x v="15"/>
    <x v="2"/>
    <x v="0"/>
    <n v="1"/>
    <n v="650"/>
    <n v="650"/>
  </r>
  <r>
    <d v="2011-09-19T00:00:00"/>
    <x v="15"/>
    <x v="4"/>
    <x v="1"/>
    <n v="57"/>
    <n v="1200"/>
    <n v="68400"/>
  </r>
  <r>
    <d v="2013-09-25T00:00:00"/>
    <x v="15"/>
    <x v="1"/>
    <x v="2"/>
    <n v="50"/>
    <n v="800"/>
    <n v="40000"/>
  </r>
  <r>
    <d v="2012-04-14T00:00:00"/>
    <x v="15"/>
    <x v="3"/>
    <x v="3"/>
    <n v="1"/>
    <n v="950"/>
    <n v="950"/>
  </r>
  <r>
    <d v="2013-11-07T00:00:00"/>
    <x v="15"/>
    <x v="1"/>
    <x v="3"/>
    <n v="15"/>
    <n v="820"/>
    <n v="12300"/>
  </r>
  <r>
    <d v="2012-01-16T00:00:00"/>
    <x v="15"/>
    <x v="1"/>
    <x v="2"/>
    <n v="6"/>
    <n v="800"/>
    <n v="4800"/>
  </r>
  <r>
    <d v="2014-05-11T00:00:00"/>
    <x v="15"/>
    <x v="4"/>
    <x v="2"/>
    <n v="24"/>
    <n v="800"/>
    <n v="19200"/>
  </r>
  <r>
    <d v="2011-08-06T00:00:00"/>
    <x v="15"/>
    <x v="5"/>
    <x v="0"/>
    <n v="61"/>
    <n v="650"/>
    <n v="39650"/>
  </r>
  <r>
    <d v="2011-06-04T00:00:00"/>
    <x v="15"/>
    <x v="5"/>
    <x v="4"/>
    <n v="225"/>
    <n v="450"/>
    <n v="101250"/>
  </r>
  <r>
    <d v="2012-11-17T00:00:00"/>
    <x v="15"/>
    <x v="0"/>
    <x v="0"/>
    <n v="49"/>
    <n v="650"/>
    <n v="31850"/>
  </r>
  <r>
    <d v="2010-12-10T00:00:00"/>
    <x v="15"/>
    <x v="0"/>
    <x v="2"/>
    <n v="18"/>
    <n v="800"/>
    <n v="14400"/>
  </r>
  <r>
    <d v="2011-10-26T00:00:00"/>
    <x v="15"/>
    <x v="1"/>
    <x v="2"/>
    <n v="9"/>
    <n v="800"/>
    <n v="7200"/>
  </r>
  <r>
    <d v="2014-02-06T00:00:00"/>
    <x v="15"/>
    <x v="5"/>
    <x v="2"/>
    <n v="175"/>
    <n v="800"/>
    <n v="140000"/>
  </r>
  <r>
    <d v="2010-04-20T00:00:00"/>
    <x v="15"/>
    <x v="5"/>
    <x v="2"/>
    <n v="64"/>
    <n v="800"/>
    <n v="51200"/>
  </r>
  <r>
    <d v="2013-05-27T00:00:00"/>
    <x v="15"/>
    <x v="2"/>
    <x v="3"/>
    <n v="22"/>
    <n v="820"/>
    <n v="18040"/>
  </r>
  <r>
    <d v="2012-08-26T00:00:00"/>
    <x v="15"/>
    <x v="2"/>
    <x v="3"/>
    <n v="13"/>
    <n v="950"/>
    <n v="12350"/>
  </r>
  <r>
    <d v="2010-04-21T00:00:00"/>
    <x v="15"/>
    <x v="3"/>
    <x v="1"/>
    <n v="39"/>
    <n v="1200"/>
    <n v="46800"/>
  </r>
  <r>
    <d v="2012-06-26T00:00:00"/>
    <x v="15"/>
    <x v="2"/>
    <x v="3"/>
    <n v="9"/>
    <n v="950"/>
    <n v="8550"/>
  </r>
  <r>
    <d v="2013-05-21T00:00:00"/>
    <x v="15"/>
    <x v="5"/>
    <x v="3"/>
    <n v="32"/>
    <n v="820"/>
    <n v="26240"/>
  </r>
  <r>
    <d v="2012-02-17T00:00:00"/>
    <x v="15"/>
    <x v="2"/>
    <x v="3"/>
    <n v="4"/>
    <n v="820"/>
    <n v="3280"/>
  </r>
  <r>
    <d v="2014-09-03T00:00:00"/>
    <x v="15"/>
    <x v="3"/>
    <x v="1"/>
    <n v="27"/>
    <n v="1200"/>
    <n v="32400"/>
  </r>
  <r>
    <d v="2014-01-15T00:00:00"/>
    <x v="15"/>
    <x v="5"/>
    <x v="2"/>
    <n v="219"/>
    <n v="800"/>
    <n v="175200"/>
  </r>
  <r>
    <d v="2014-05-14T00:00:00"/>
    <x v="15"/>
    <x v="1"/>
    <x v="2"/>
    <n v="1"/>
    <n v="800"/>
    <n v="800"/>
  </r>
  <r>
    <d v="2014-04-18T00:00:00"/>
    <x v="15"/>
    <x v="3"/>
    <x v="2"/>
    <n v="14"/>
    <n v="800"/>
    <n v="11200"/>
  </r>
  <r>
    <d v="2012-05-29T00:00:00"/>
    <x v="15"/>
    <x v="2"/>
    <x v="3"/>
    <n v="9"/>
    <n v="820"/>
    <n v="7380"/>
  </r>
  <r>
    <d v="2012-06-24T00:00:00"/>
    <x v="15"/>
    <x v="2"/>
    <x v="3"/>
    <n v="16"/>
    <n v="950"/>
    <n v="15200"/>
  </r>
  <r>
    <d v="2013-12-24T00:00:00"/>
    <x v="15"/>
    <x v="4"/>
    <x v="2"/>
    <n v="54"/>
    <n v="800"/>
    <n v="43200"/>
  </r>
  <r>
    <d v="2012-09-18T00:00:00"/>
    <x v="15"/>
    <x v="1"/>
    <x v="3"/>
    <n v="3"/>
    <n v="820"/>
    <n v="2460"/>
  </r>
  <r>
    <d v="2013-09-21T00:00:00"/>
    <x v="15"/>
    <x v="0"/>
    <x v="3"/>
    <n v="43"/>
    <n v="950"/>
    <n v="40850"/>
  </r>
  <r>
    <d v="2010-08-09T00:00:00"/>
    <x v="15"/>
    <x v="4"/>
    <x v="2"/>
    <n v="52"/>
    <n v="800"/>
    <n v="41600"/>
  </r>
  <r>
    <d v="2014-08-23T00:00:00"/>
    <x v="15"/>
    <x v="4"/>
    <x v="3"/>
    <n v="41"/>
    <n v="820"/>
    <n v="33620"/>
  </r>
  <r>
    <d v="2010-05-22T00:00:00"/>
    <x v="15"/>
    <x v="3"/>
    <x v="1"/>
    <n v="40"/>
    <n v="1200"/>
    <n v="48000"/>
  </r>
  <r>
    <d v="2014-01-07T00:00:00"/>
    <x v="15"/>
    <x v="3"/>
    <x v="3"/>
    <n v="112"/>
    <n v="950"/>
    <n v="106400"/>
  </r>
  <r>
    <d v="2014-11-18T00:00:00"/>
    <x v="15"/>
    <x v="1"/>
    <x v="0"/>
    <n v="31"/>
    <n v="650"/>
    <n v="20150"/>
  </r>
  <r>
    <d v="2011-01-20T00:00:00"/>
    <x v="15"/>
    <x v="5"/>
    <x v="2"/>
    <n v="82"/>
    <n v="800"/>
    <n v="65600"/>
  </r>
  <r>
    <d v="2013-11-24T00:00:00"/>
    <x v="15"/>
    <x v="4"/>
    <x v="2"/>
    <n v="76"/>
    <n v="800"/>
    <n v="60800"/>
  </r>
  <r>
    <d v="2011-02-26T00:00:00"/>
    <x v="15"/>
    <x v="1"/>
    <x v="1"/>
    <n v="27"/>
    <n v="1200"/>
    <n v="32400"/>
  </r>
  <r>
    <d v="2014-08-07T00:00:00"/>
    <x v="15"/>
    <x v="0"/>
    <x v="0"/>
    <n v="8"/>
    <n v="650"/>
    <n v="5200"/>
  </r>
  <r>
    <d v="2012-01-10T00:00:00"/>
    <x v="15"/>
    <x v="5"/>
    <x v="3"/>
    <n v="2"/>
    <n v="820"/>
    <n v="1640"/>
  </r>
  <r>
    <d v="2013-02-28T00:00:00"/>
    <x v="15"/>
    <x v="1"/>
    <x v="2"/>
    <n v="19"/>
    <n v="800"/>
    <n v="15200"/>
  </r>
  <r>
    <d v="2013-03-24T00:00:00"/>
    <x v="15"/>
    <x v="3"/>
    <x v="4"/>
    <n v="85"/>
    <n v="450"/>
    <n v="38250"/>
  </r>
  <r>
    <d v="2014-09-06T00:00:00"/>
    <x v="15"/>
    <x v="4"/>
    <x v="0"/>
    <n v="47"/>
    <n v="650"/>
    <n v="30550"/>
  </r>
  <r>
    <d v="2014-12-31T00:00:00"/>
    <x v="15"/>
    <x v="4"/>
    <x v="4"/>
    <n v="140"/>
    <n v="450"/>
    <n v="63000"/>
  </r>
  <r>
    <d v="2012-09-28T00:00:00"/>
    <x v="15"/>
    <x v="5"/>
    <x v="3"/>
    <n v="116"/>
    <n v="820"/>
    <n v="95120"/>
  </r>
  <r>
    <d v="2010-06-29T00:00:00"/>
    <x v="15"/>
    <x v="0"/>
    <x v="3"/>
    <n v="11"/>
    <n v="820"/>
    <n v="9020"/>
  </r>
  <r>
    <d v="2011-01-01T00:00:00"/>
    <x v="15"/>
    <x v="0"/>
    <x v="0"/>
    <n v="70"/>
    <n v="650"/>
    <n v="45500"/>
  </r>
  <r>
    <d v="2014-10-05T00:00:00"/>
    <x v="15"/>
    <x v="0"/>
    <x v="3"/>
    <n v="60"/>
    <n v="950"/>
    <n v="57000"/>
  </r>
  <r>
    <d v="2014-07-16T00:00:00"/>
    <x v="15"/>
    <x v="5"/>
    <x v="3"/>
    <n v="137"/>
    <n v="820"/>
    <n v="112340"/>
  </r>
  <r>
    <d v="2012-04-07T00:00:00"/>
    <x v="15"/>
    <x v="3"/>
    <x v="0"/>
    <n v="154"/>
    <n v="650"/>
    <n v="100100"/>
  </r>
  <r>
    <d v="2010-11-06T00:00:00"/>
    <x v="15"/>
    <x v="1"/>
    <x v="3"/>
    <n v="2"/>
    <n v="820"/>
    <n v="1640"/>
  </r>
  <r>
    <d v="2013-08-22T00:00:00"/>
    <x v="15"/>
    <x v="4"/>
    <x v="2"/>
    <n v="19"/>
    <n v="800"/>
    <n v="15200"/>
  </r>
  <r>
    <d v="2012-06-17T00:00:00"/>
    <x v="15"/>
    <x v="1"/>
    <x v="2"/>
    <n v="15"/>
    <n v="800"/>
    <n v="12000"/>
  </r>
  <r>
    <d v="2013-04-18T00:00:00"/>
    <x v="15"/>
    <x v="0"/>
    <x v="2"/>
    <n v="34"/>
    <n v="800"/>
    <n v="27200"/>
  </r>
  <r>
    <d v="2013-05-27T00:00:00"/>
    <x v="15"/>
    <x v="2"/>
    <x v="3"/>
    <n v="2"/>
    <n v="820"/>
    <n v="1640"/>
  </r>
  <r>
    <d v="2011-02-19T00:00:00"/>
    <x v="15"/>
    <x v="4"/>
    <x v="2"/>
    <n v="165"/>
    <n v="800"/>
    <n v="132000"/>
  </r>
  <r>
    <d v="2011-11-14T00:00:00"/>
    <x v="15"/>
    <x v="0"/>
    <x v="0"/>
    <n v="85"/>
    <n v="650"/>
    <n v="55250"/>
  </r>
  <r>
    <d v="2014-01-22T00:00:00"/>
    <x v="16"/>
    <x v="1"/>
    <x v="1"/>
    <n v="7"/>
    <n v="1200"/>
    <n v="8400"/>
  </r>
  <r>
    <d v="2013-02-15T00:00:00"/>
    <x v="16"/>
    <x v="1"/>
    <x v="2"/>
    <n v="63"/>
    <n v="800"/>
    <n v="50400"/>
  </r>
  <r>
    <d v="2011-10-18T00:00:00"/>
    <x v="16"/>
    <x v="5"/>
    <x v="3"/>
    <n v="39"/>
    <n v="820"/>
    <n v="31980"/>
  </r>
  <r>
    <d v="2012-04-26T00:00:00"/>
    <x v="16"/>
    <x v="5"/>
    <x v="2"/>
    <n v="140"/>
    <n v="800"/>
    <n v="112000"/>
  </r>
  <r>
    <d v="2014-12-24T00:00:00"/>
    <x v="16"/>
    <x v="0"/>
    <x v="4"/>
    <n v="70"/>
    <n v="450"/>
    <n v="31500"/>
  </r>
  <r>
    <d v="2013-09-12T00:00:00"/>
    <x v="16"/>
    <x v="2"/>
    <x v="3"/>
    <n v="4"/>
    <n v="950"/>
    <n v="3800"/>
  </r>
  <r>
    <d v="2011-03-03T00:00:00"/>
    <x v="16"/>
    <x v="1"/>
    <x v="3"/>
    <n v="5"/>
    <n v="820"/>
    <n v="4100"/>
  </r>
  <r>
    <d v="2014-09-17T00:00:00"/>
    <x v="16"/>
    <x v="5"/>
    <x v="2"/>
    <n v="124"/>
    <n v="800"/>
    <n v="99200"/>
  </r>
  <r>
    <d v="2012-11-16T00:00:00"/>
    <x v="16"/>
    <x v="0"/>
    <x v="4"/>
    <n v="59"/>
    <n v="450"/>
    <n v="26550"/>
  </r>
  <r>
    <d v="2014-08-04T00:00:00"/>
    <x v="16"/>
    <x v="4"/>
    <x v="0"/>
    <n v="234"/>
    <n v="650"/>
    <n v="152100"/>
  </r>
  <r>
    <d v="2011-01-12T00:00:00"/>
    <x v="16"/>
    <x v="2"/>
    <x v="2"/>
    <n v="13"/>
    <n v="800"/>
    <n v="10400"/>
  </r>
  <r>
    <d v="2012-10-08T00:00:00"/>
    <x v="16"/>
    <x v="0"/>
    <x v="3"/>
    <n v="2"/>
    <n v="820"/>
    <n v="1640"/>
  </r>
  <r>
    <d v="2014-04-12T00:00:00"/>
    <x v="16"/>
    <x v="1"/>
    <x v="3"/>
    <n v="23"/>
    <n v="820"/>
    <n v="18860"/>
  </r>
  <r>
    <d v="2013-05-27T00:00:00"/>
    <x v="16"/>
    <x v="2"/>
    <x v="3"/>
    <n v="6"/>
    <n v="950"/>
    <n v="5700"/>
  </r>
  <r>
    <d v="2011-08-13T00:00:00"/>
    <x v="16"/>
    <x v="5"/>
    <x v="3"/>
    <n v="98"/>
    <n v="820"/>
    <n v="80360"/>
  </r>
  <r>
    <d v="2010-07-22T00:00:00"/>
    <x v="16"/>
    <x v="3"/>
    <x v="3"/>
    <n v="111"/>
    <n v="950"/>
    <n v="105450"/>
  </r>
  <r>
    <d v="2013-03-24T00:00:00"/>
    <x v="16"/>
    <x v="2"/>
    <x v="1"/>
    <n v="14"/>
    <n v="1200"/>
    <n v="16800"/>
  </r>
  <r>
    <d v="2011-07-16T00:00:00"/>
    <x v="16"/>
    <x v="3"/>
    <x v="0"/>
    <n v="50"/>
    <n v="650"/>
    <n v="32500"/>
  </r>
  <r>
    <d v="2011-12-25T00:00:00"/>
    <x v="16"/>
    <x v="2"/>
    <x v="2"/>
    <n v="1"/>
    <n v="800"/>
    <n v="800"/>
  </r>
  <r>
    <d v="2012-07-30T00:00:00"/>
    <x v="16"/>
    <x v="2"/>
    <x v="3"/>
    <n v="2"/>
    <n v="950"/>
    <n v="1900"/>
  </r>
  <r>
    <d v="2011-06-22T00:00:00"/>
    <x v="16"/>
    <x v="4"/>
    <x v="3"/>
    <n v="82"/>
    <n v="820"/>
    <n v="67240"/>
  </r>
  <r>
    <d v="2014-08-16T00:00:00"/>
    <x v="16"/>
    <x v="0"/>
    <x v="2"/>
    <n v="19"/>
    <n v="800"/>
    <n v="15200"/>
  </r>
  <r>
    <d v="2014-11-01T00:00:00"/>
    <x v="16"/>
    <x v="3"/>
    <x v="3"/>
    <n v="35"/>
    <n v="950"/>
    <n v="33250"/>
  </r>
  <r>
    <d v="2012-12-31T00:00:00"/>
    <x v="16"/>
    <x v="5"/>
    <x v="2"/>
    <n v="86"/>
    <n v="800"/>
    <n v="68800"/>
  </r>
  <r>
    <d v="2014-10-04T00:00:00"/>
    <x v="16"/>
    <x v="3"/>
    <x v="1"/>
    <n v="39"/>
    <n v="1200"/>
    <n v="46800"/>
  </r>
  <r>
    <d v="2014-08-14T00:00:00"/>
    <x v="16"/>
    <x v="2"/>
    <x v="4"/>
    <n v="2"/>
    <n v="450"/>
    <n v="900"/>
  </r>
  <r>
    <d v="2013-09-04T00:00:00"/>
    <x v="16"/>
    <x v="4"/>
    <x v="3"/>
    <n v="51"/>
    <n v="820"/>
    <n v="41820"/>
  </r>
  <r>
    <d v="2010-06-19T00:00:00"/>
    <x v="16"/>
    <x v="0"/>
    <x v="1"/>
    <n v="135"/>
    <n v="1200"/>
    <n v="162000"/>
  </r>
  <r>
    <d v="2011-10-05T00:00:00"/>
    <x v="16"/>
    <x v="3"/>
    <x v="2"/>
    <n v="112"/>
    <n v="800"/>
    <n v="89600"/>
  </r>
  <r>
    <d v="2010-03-18T00:00:00"/>
    <x v="16"/>
    <x v="2"/>
    <x v="3"/>
    <n v="4"/>
    <n v="820"/>
    <n v="3280"/>
  </r>
  <r>
    <d v="2014-01-09T00:00:00"/>
    <x v="16"/>
    <x v="5"/>
    <x v="4"/>
    <n v="65"/>
    <n v="450"/>
    <n v="29250"/>
  </r>
  <r>
    <d v="2010-12-27T00:00:00"/>
    <x v="16"/>
    <x v="0"/>
    <x v="2"/>
    <n v="36"/>
    <n v="800"/>
    <n v="28800"/>
  </r>
  <r>
    <d v="2011-09-24T00:00:00"/>
    <x v="16"/>
    <x v="3"/>
    <x v="3"/>
    <n v="7"/>
    <n v="820"/>
    <n v="5740"/>
  </r>
  <r>
    <d v="2011-03-31T00:00:00"/>
    <x v="16"/>
    <x v="1"/>
    <x v="3"/>
    <n v="31"/>
    <n v="950"/>
    <n v="29450"/>
  </r>
  <r>
    <d v="2012-04-28T00:00:00"/>
    <x v="16"/>
    <x v="3"/>
    <x v="3"/>
    <n v="1"/>
    <n v="950"/>
    <n v="950"/>
  </r>
  <r>
    <d v="2013-12-23T00:00:00"/>
    <x v="16"/>
    <x v="5"/>
    <x v="2"/>
    <n v="196"/>
    <n v="800"/>
    <n v="156800"/>
  </r>
  <r>
    <d v="2013-03-18T00:00:00"/>
    <x v="16"/>
    <x v="1"/>
    <x v="2"/>
    <n v="51"/>
    <n v="800"/>
    <n v="40800"/>
  </r>
  <r>
    <d v="2011-02-13T00:00:00"/>
    <x v="16"/>
    <x v="5"/>
    <x v="4"/>
    <n v="81"/>
    <n v="450"/>
    <n v="36450"/>
  </r>
  <r>
    <d v="2013-01-18T00:00:00"/>
    <x v="16"/>
    <x v="4"/>
    <x v="3"/>
    <n v="62"/>
    <n v="820"/>
    <n v="50840"/>
  </r>
  <r>
    <d v="2012-04-08T00:00:00"/>
    <x v="16"/>
    <x v="4"/>
    <x v="3"/>
    <n v="140"/>
    <n v="820"/>
    <n v="114800"/>
  </r>
  <r>
    <d v="2014-04-04T00:00:00"/>
    <x v="16"/>
    <x v="0"/>
    <x v="1"/>
    <n v="134"/>
    <n v="1200"/>
    <n v="160800"/>
  </r>
  <r>
    <d v="2010-03-07T00:00:00"/>
    <x v="16"/>
    <x v="1"/>
    <x v="2"/>
    <n v="12"/>
    <n v="800"/>
    <n v="9600"/>
  </r>
  <r>
    <d v="2012-01-18T00:00:00"/>
    <x v="16"/>
    <x v="3"/>
    <x v="2"/>
    <n v="44"/>
    <n v="800"/>
    <n v="35200"/>
  </r>
  <r>
    <d v="2010-04-14T00:00:00"/>
    <x v="16"/>
    <x v="2"/>
    <x v="3"/>
    <n v="1"/>
    <n v="820"/>
    <n v="820"/>
  </r>
  <r>
    <d v="2011-08-21T00:00:00"/>
    <x v="16"/>
    <x v="1"/>
    <x v="3"/>
    <n v="42"/>
    <n v="820"/>
    <n v="34440"/>
  </r>
  <r>
    <d v="2010-12-28T00:00:00"/>
    <x v="16"/>
    <x v="2"/>
    <x v="4"/>
    <n v="7"/>
    <n v="450"/>
    <n v="3150"/>
  </r>
  <r>
    <d v="2011-01-25T00:00:00"/>
    <x v="16"/>
    <x v="5"/>
    <x v="3"/>
    <n v="44"/>
    <n v="820"/>
    <n v="36080"/>
  </r>
  <r>
    <d v="2014-08-19T00:00:00"/>
    <x v="16"/>
    <x v="1"/>
    <x v="3"/>
    <n v="16"/>
    <n v="820"/>
    <n v="13120"/>
  </r>
  <r>
    <d v="2011-02-11T00:00:00"/>
    <x v="16"/>
    <x v="1"/>
    <x v="1"/>
    <n v="39"/>
    <n v="1200"/>
    <n v="46800"/>
  </r>
  <r>
    <d v="2012-07-27T00:00:00"/>
    <x v="16"/>
    <x v="1"/>
    <x v="3"/>
    <n v="30"/>
    <n v="820"/>
    <n v="24600"/>
  </r>
  <r>
    <d v="2012-12-23T00:00:00"/>
    <x v="16"/>
    <x v="4"/>
    <x v="3"/>
    <n v="192"/>
    <n v="820"/>
    <n v="157440"/>
  </r>
  <r>
    <d v="2012-09-29T00:00:00"/>
    <x v="16"/>
    <x v="4"/>
    <x v="3"/>
    <n v="125"/>
    <n v="950"/>
    <n v="118750"/>
  </r>
  <r>
    <d v="2014-11-17T00:00:00"/>
    <x v="16"/>
    <x v="4"/>
    <x v="2"/>
    <n v="25"/>
    <n v="800"/>
    <n v="20000"/>
  </r>
  <r>
    <d v="2014-12-31T00:00:00"/>
    <x v="16"/>
    <x v="0"/>
    <x v="3"/>
    <n v="30"/>
    <n v="820"/>
    <n v="24600"/>
  </r>
  <r>
    <d v="2011-02-05T00:00:00"/>
    <x v="16"/>
    <x v="0"/>
    <x v="3"/>
    <n v="17"/>
    <n v="950"/>
    <n v="16150"/>
  </r>
  <r>
    <d v="2011-01-13T00:00:00"/>
    <x v="16"/>
    <x v="0"/>
    <x v="2"/>
    <n v="29"/>
    <n v="800"/>
    <n v="23200"/>
  </r>
  <r>
    <d v="2012-05-13T00:00:00"/>
    <x v="16"/>
    <x v="2"/>
    <x v="3"/>
    <n v="15"/>
    <n v="950"/>
    <n v="14250"/>
  </r>
  <r>
    <d v="2011-06-19T00:00:00"/>
    <x v="16"/>
    <x v="1"/>
    <x v="3"/>
    <n v="1"/>
    <n v="820"/>
    <n v="820"/>
  </r>
  <r>
    <d v="2012-12-09T00:00:00"/>
    <x v="16"/>
    <x v="0"/>
    <x v="0"/>
    <n v="2"/>
    <n v="650"/>
    <n v="1300"/>
  </r>
  <r>
    <d v="2013-12-17T00:00:00"/>
    <x v="16"/>
    <x v="1"/>
    <x v="3"/>
    <n v="34"/>
    <n v="820"/>
    <n v="27880"/>
  </r>
  <r>
    <d v="2012-09-16T00:00:00"/>
    <x v="16"/>
    <x v="3"/>
    <x v="3"/>
    <n v="107"/>
    <n v="820"/>
    <n v="87740"/>
  </r>
  <r>
    <d v="2011-06-05T00:00:00"/>
    <x v="16"/>
    <x v="2"/>
    <x v="0"/>
    <n v="29"/>
    <n v="650"/>
    <n v="18850"/>
  </r>
  <r>
    <d v="2012-04-18T00:00:00"/>
    <x v="17"/>
    <x v="0"/>
    <x v="2"/>
    <n v="29"/>
    <n v="800"/>
    <n v="23200"/>
  </r>
  <r>
    <d v="2011-05-07T00:00:00"/>
    <x v="17"/>
    <x v="4"/>
    <x v="3"/>
    <n v="125"/>
    <n v="820"/>
    <n v="102500"/>
  </r>
  <r>
    <d v="2010-07-07T00:00:00"/>
    <x v="17"/>
    <x v="0"/>
    <x v="2"/>
    <n v="14"/>
    <n v="800"/>
    <n v="11200"/>
  </r>
  <r>
    <d v="2014-08-30T00:00:00"/>
    <x v="17"/>
    <x v="0"/>
    <x v="1"/>
    <n v="18"/>
    <n v="1200"/>
    <n v="21600"/>
  </r>
  <r>
    <d v="2010-12-01T00:00:00"/>
    <x v="17"/>
    <x v="5"/>
    <x v="4"/>
    <n v="55"/>
    <n v="450"/>
    <n v="24750"/>
  </r>
  <r>
    <d v="2010-06-04T00:00:00"/>
    <x v="17"/>
    <x v="5"/>
    <x v="1"/>
    <n v="41"/>
    <n v="1200"/>
    <n v="49200"/>
  </r>
  <r>
    <d v="2014-05-26T00:00:00"/>
    <x v="17"/>
    <x v="5"/>
    <x v="2"/>
    <n v="1"/>
    <n v="800"/>
    <n v="800"/>
  </r>
  <r>
    <d v="2013-09-17T00:00:00"/>
    <x v="17"/>
    <x v="5"/>
    <x v="2"/>
    <n v="133"/>
    <n v="800"/>
    <n v="106400"/>
  </r>
  <r>
    <d v="2010-04-04T00:00:00"/>
    <x v="17"/>
    <x v="3"/>
    <x v="3"/>
    <n v="8"/>
    <n v="950"/>
    <n v="7600"/>
  </r>
  <r>
    <d v="2013-01-18T00:00:00"/>
    <x v="17"/>
    <x v="4"/>
    <x v="1"/>
    <n v="74"/>
    <n v="1200"/>
    <n v="88800"/>
  </r>
  <r>
    <d v="2013-09-18T00:00:00"/>
    <x v="17"/>
    <x v="3"/>
    <x v="1"/>
    <n v="25"/>
    <n v="1200"/>
    <n v="30000"/>
  </r>
  <r>
    <d v="2013-08-18T00:00:00"/>
    <x v="17"/>
    <x v="2"/>
    <x v="3"/>
    <n v="23"/>
    <n v="950"/>
    <n v="21850"/>
  </r>
  <r>
    <d v="2011-02-09T00:00:00"/>
    <x v="17"/>
    <x v="1"/>
    <x v="2"/>
    <n v="81"/>
    <n v="800"/>
    <n v="64800"/>
  </r>
  <r>
    <d v="2014-06-05T00:00:00"/>
    <x v="17"/>
    <x v="1"/>
    <x v="2"/>
    <n v="98"/>
    <n v="800"/>
    <n v="78400"/>
  </r>
  <r>
    <d v="2013-07-27T00:00:00"/>
    <x v="17"/>
    <x v="2"/>
    <x v="2"/>
    <n v="44"/>
    <n v="800"/>
    <n v="35200"/>
  </r>
  <r>
    <d v="2010-11-15T00:00:00"/>
    <x v="17"/>
    <x v="1"/>
    <x v="1"/>
    <n v="21"/>
    <n v="1200"/>
    <n v="25200"/>
  </r>
  <r>
    <d v="2014-11-30T00:00:00"/>
    <x v="17"/>
    <x v="2"/>
    <x v="4"/>
    <n v="5"/>
    <n v="450"/>
    <n v="2250"/>
  </r>
  <r>
    <d v="2013-05-08T00:00:00"/>
    <x v="17"/>
    <x v="3"/>
    <x v="3"/>
    <n v="86"/>
    <n v="820"/>
    <n v="70520"/>
  </r>
  <r>
    <d v="2014-11-09T00:00:00"/>
    <x v="17"/>
    <x v="0"/>
    <x v="3"/>
    <n v="16"/>
    <n v="950"/>
    <n v="15200"/>
  </r>
  <r>
    <d v="2010-09-13T00:00:00"/>
    <x v="17"/>
    <x v="3"/>
    <x v="1"/>
    <n v="176"/>
    <n v="1200"/>
    <n v="211200"/>
  </r>
  <r>
    <d v="2014-07-04T00:00:00"/>
    <x v="17"/>
    <x v="0"/>
    <x v="2"/>
    <n v="148"/>
    <n v="800"/>
    <n v="118400"/>
  </r>
  <r>
    <d v="2014-03-10T00:00:00"/>
    <x v="17"/>
    <x v="1"/>
    <x v="4"/>
    <n v="12"/>
    <n v="450"/>
    <n v="5400"/>
  </r>
  <r>
    <d v="2012-12-18T00:00:00"/>
    <x v="17"/>
    <x v="1"/>
    <x v="3"/>
    <n v="26"/>
    <n v="820"/>
    <n v="21320"/>
  </r>
  <r>
    <d v="2012-03-31T00:00:00"/>
    <x v="17"/>
    <x v="0"/>
    <x v="3"/>
    <n v="56"/>
    <n v="820"/>
    <n v="45920"/>
  </r>
  <r>
    <d v="2010-04-16T00:00:00"/>
    <x v="17"/>
    <x v="1"/>
    <x v="2"/>
    <n v="31"/>
    <n v="800"/>
    <n v="24800"/>
  </r>
  <r>
    <d v="2011-06-18T00:00:00"/>
    <x v="17"/>
    <x v="5"/>
    <x v="2"/>
    <n v="175"/>
    <n v="800"/>
    <n v="140000"/>
  </r>
  <r>
    <d v="2013-12-27T00:00:00"/>
    <x v="17"/>
    <x v="1"/>
    <x v="3"/>
    <n v="13"/>
    <n v="820"/>
    <n v="10660"/>
  </r>
  <r>
    <d v="2011-12-11T00:00:00"/>
    <x v="17"/>
    <x v="5"/>
    <x v="0"/>
    <n v="64"/>
    <n v="650"/>
    <n v="41600"/>
  </r>
  <r>
    <d v="2013-06-29T00:00:00"/>
    <x v="17"/>
    <x v="5"/>
    <x v="2"/>
    <n v="100"/>
    <n v="800"/>
    <n v="80000"/>
  </r>
  <r>
    <d v="2014-07-29T00:00:00"/>
    <x v="17"/>
    <x v="2"/>
    <x v="2"/>
    <n v="2"/>
    <n v="800"/>
    <n v="1600"/>
  </r>
  <r>
    <d v="2010-08-05T00:00:00"/>
    <x v="17"/>
    <x v="3"/>
    <x v="1"/>
    <n v="54"/>
    <n v="1200"/>
    <n v="64800"/>
  </r>
  <r>
    <d v="2012-10-08T00:00:00"/>
    <x v="17"/>
    <x v="1"/>
    <x v="3"/>
    <n v="25"/>
    <n v="820"/>
    <n v="20500"/>
  </r>
  <r>
    <d v="2011-07-10T00:00:00"/>
    <x v="17"/>
    <x v="4"/>
    <x v="2"/>
    <n v="87"/>
    <n v="800"/>
    <n v="69600"/>
  </r>
  <r>
    <d v="2011-01-11T00:00:00"/>
    <x v="17"/>
    <x v="1"/>
    <x v="0"/>
    <n v="46"/>
    <n v="650"/>
    <n v="29900"/>
  </r>
  <r>
    <d v="2010-09-20T00:00:00"/>
    <x v="17"/>
    <x v="5"/>
    <x v="3"/>
    <n v="20"/>
    <n v="820"/>
    <n v="16400"/>
  </r>
  <r>
    <d v="2011-05-26T00:00:00"/>
    <x v="17"/>
    <x v="0"/>
    <x v="3"/>
    <n v="57"/>
    <n v="950"/>
    <n v="54150"/>
  </r>
  <r>
    <d v="2010-09-08T00:00:00"/>
    <x v="17"/>
    <x v="1"/>
    <x v="2"/>
    <n v="32"/>
    <n v="800"/>
    <n v="25600"/>
  </r>
  <r>
    <d v="2011-08-16T00:00:00"/>
    <x v="17"/>
    <x v="1"/>
    <x v="2"/>
    <n v="58"/>
    <n v="800"/>
    <n v="46400"/>
  </r>
  <r>
    <d v="2011-03-30T00:00:00"/>
    <x v="17"/>
    <x v="1"/>
    <x v="1"/>
    <n v="22"/>
    <n v="1200"/>
    <n v="26400"/>
  </r>
  <r>
    <d v="2010-09-27T00:00:00"/>
    <x v="17"/>
    <x v="1"/>
    <x v="1"/>
    <n v="47"/>
    <n v="1200"/>
    <n v="56400"/>
  </r>
  <r>
    <d v="2013-11-11T00:00:00"/>
    <x v="17"/>
    <x v="5"/>
    <x v="3"/>
    <n v="108"/>
    <n v="820"/>
    <n v="88560"/>
  </r>
  <r>
    <d v="2013-05-14T00:00:00"/>
    <x v="17"/>
    <x v="3"/>
    <x v="2"/>
    <n v="25"/>
    <n v="800"/>
    <n v="20000"/>
  </r>
  <r>
    <d v="2014-10-15T00:00:00"/>
    <x v="17"/>
    <x v="1"/>
    <x v="3"/>
    <n v="82"/>
    <n v="820"/>
    <n v="67240"/>
  </r>
  <r>
    <d v="2010-05-19T00:00:00"/>
    <x v="17"/>
    <x v="3"/>
    <x v="4"/>
    <n v="56"/>
    <n v="450"/>
    <n v="25200"/>
  </r>
  <r>
    <d v="2011-07-07T00:00:00"/>
    <x v="17"/>
    <x v="3"/>
    <x v="1"/>
    <n v="23"/>
    <n v="1200"/>
    <n v="27600"/>
  </r>
  <r>
    <d v="2014-09-23T00:00:00"/>
    <x v="17"/>
    <x v="0"/>
    <x v="0"/>
    <n v="64"/>
    <n v="650"/>
    <n v="41600"/>
  </r>
  <r>
    <d v="2014-08-09T00:00:00"/>
    <x v="17"/>
    <x v="5"/>
    <x v="1"/>
    <n v="14"/>
    <n v="1200"/>
    <n v="16800"/>
  </r>
  <r>
    <d v="2011-12-02T00:00:00"/>
    <x v="17"/>
    <x v="3"/>
    <x v="3"/>
    <n v="10"/>
    <n v="950"/>
    <n v="9500"/>
  </r>
  <r>
    <d v="2014-11-27T00:00:00"/>
    <x v="17"/>
    <x v="3"/>
    <x v="3"/>
    <n v="107"/>
    <n v="820"/>
    <n v="87740"/>
  </r>
  <r>
    <d v="2013-09-15T00:00:00"/>
    <x v="17"/>
    <x v="3"/>
    <x v="2"/>
    <n v="40"/>
    <n v="800"/>
    <n v="32000"/>
  </r>
  <r>
    <d v="2010-02-03T00:00:00"/>
    <x v="17"/>
    <x v="4"/>
    <x v="2"/>
    <n v="28"/>
    <n v="800"/>
    <n v="22400"/>
  </r>
  <r>
    <d v="2014-11-30T00:00:00"/>
    <x v="17"/>
    <x v="4"/>
    <x v="3"/>
    <n v="46"/>
    <n v="950"/>
    <n v="43700"/>
  </r>
  <r>
    <d v="2011-08-19T00:00:00"/>
    <x v="18"/>
    <x v="5"/>
    <x v="3"/>
    <n v="1"/>
    <n v="820"/>
    <n v="820"/>
  </r>
  <r>
    <d v="2013-11-05T00:00:00"/>
    <x v="18"/>
    <x v="2"/>
    <x v="4"/>
    <n v="10"/>
    <n v="450"/>
    <n v="4500"/>
  </r>
  <r>
    <d v="2010-04-03T00:00:00"/>
    <x v="18"/>
    <x v="3"/>
    <x v="2"/>
    <n v="60"/>
    <n v="800"/>
    <n v="48000"/>
  </r>
  <r>
    <d v="2011-07-10T00:00:00"/>
    <x v="18"/>
    <x v="0"/>
    <x v="2"/>
    <n v="46"/>
    <n v="800"/>
    <n v="36800"/>
  </r>
  <r>
    <d v="2012-09-01T00:00:00"/>
    <x v="18"/>
    <x v="0"/>
    <x v="1"/>
    <n v="43"/>
    <n v="1200"/>
    <n v="51600"/>
  </r>
  <r>
    <d v="2012-11-12T00:00:00"/>
    <x v="18"/>
    <x v="1"/>
    <x v="0"/>
    <n v="24"/>
    <n v="650"/>
    <n v="15600"/>
  </r>
  <r>
    <d v="2012-01-31T00:00:00"/>
    <x v="18"/>
    <x v="3"/>
    <x v="2"/>
    <n v="12"/>
    <n v="800"/>
    <n v="9600"/>
  </r>
  <r>
    <d v="2014-04-19T00:00:00"/>
    <x v="18"/>
    <x v="5"/>
    <x v="3"/>
    <n v="69"/>
    <n v="820"/>
    <n v="56580"/>
  </r>
  <r>
    <d v="2012-10-04T00:00:00"/>
    <x v="18"/>
    <x v="1"/>
    <x v="2"/>
    <n v="3"/>
    <n v="800"/>
    <n v="2400"/>
  </r>
  <r>
    <d v="2013-02-10T00:00:00"/>
    <x v="18"/>
    <x v="5"/>
    <x v="3"/>
    <n v="69"/>
    <n v="820"/>
    <n v="56580"/>
  </r>
  <r>
    <d v="2011-02-23T00:00:00"/>
    <x v="18"/>
    <x v="4"/>
    <x v="1"/>
    <n v="2"/>
    <n v="1200"/>
    <n v="2400"/>
  </r>
  <r>
    <d v="2012-09-11T00:00:00"/>
    <x v="18"/>
    <x v="3"/>
    <x v="3"/>
    <n v="26"/>
    <n v="820"/>
    <n v="21320"/>
  </r>
  <r>
    <d v="2013-05-20T00:00:00"/>
    <x v="18"/>
    <x v="2"/>
    <x v="2"/>
    <n v="1"/>
    <n v="800"/>
    <n v="800"/>
  </r>
  <r>
    <d v="2011-03-02T00:00:00"/>
    <x v="18"/>
    <x v="3"/>
    <x v="3"/>
    <n v="73"/>
    <n v="950"/>
    <n v="69350"/>
  </r>
  <r>
    <d v="2013-06-06T00:00:00"/>
    <x v="18"/>
    <x v="0"/>
    <x v="4"/>
    <n v="27"/>
    <n v="450"/>
    <n v="12150"/>
  </r>
  <r>
    <d v="2011-04-04T00:00:00"/>
    <x v="18"/>
    <x v="3"/>
    <x v="3"/>
    <n v="107"/>
    <n v="950"/>
    <n v="101650"/>
  </r>
  <r>
    <d v="2014-03-19T00:00:00"/>
    <x v="18"/>
    <x v="3"/>
    <x v="2"/>
    <n v="80"/>
    <n v="800"/>
    <n v="64000"/>
  </r>
  <r>
    <d v="2014-01-17T00:00:00"/>
    <x v="18"/>
    <x v="4"/>
    <x v="0"/>
    <n v="209"/>
    <n v="650"/>
    <n v="135850"/>
  </r>
  <r>
    <d v="2010-06-09T00:00:00"/>
    <x v="18"/>
    <x v="5"/>
    <x v="1"/>
    <n v="40"/>
    <n v="1200"/>
    <n v="48000"/>
  </r>
  <r>
    <d v="2011-06-01T00:00:00"/>
    <x v="18"/>
    <x v="2"/>
    <x v="2"/>
    <n v="8"/>
    <n v="800"/>
    <n v="6400"/>
  </r>
  <r>
    <d v="2014-01-03T00:00:00"/>
    <x v="18"/>
    <x v="3"/>
    <x v="3"/>
    <n v="87"/>
    <n v="820"/>
    <n v="71340"/>
  </r>
  <r>
    <d v="2010-12-29T00:00:00"/>
    <x v="18"/>
    <x v="0"/>
    <x v="3"/>
    <n v="21"/>
    <n v="820"/>
    <n v="17220"/>
  </r>
  <r>
    <d v="2010-10-10T00:00:00"/>
    <x v="18"/>
    <x v="4"/>
    <x v="3"/>
    <n v="20"/>
    <n v="820"/>
    <n v="16400"/>
  </r>
  <r>
    <d v="2011-11-09T00:00:00"/>
    <x v="18"/>
    <x v="1"/>
    <x v="1"/>
    <n v="53"/>
    <n v="1200"/>
    <n v="63600"/>
  </r>
  <r>
    <d v="2012-05-14T00:00:00"/>
    <x v="18"/>
    <x v="1"/>
    <x v="3"/>
    <n v="5"/>
    <n v="820"/>
    <n v="4100"/>
  </r>
  <r>
    <d v="2013-05-10T00:00:00"/>
    <x v="18"/>
    <x v="0"/>
    <x v="2"/>
    <n v="6"/>
    <n v="800"/>
    <n v="4800"/>
  </r>
  <r>
    <d v="2012-12-28T00:00:00"/>
    <x v="18"/>
    <x v="2"/>
    <x v="3"/>
    <n v="3"/>
    <n v="820"/>
    <n v="2460"/>
  </r>
  <r>
    <d v="2011-11-13T00:00:00"/>
    <x v="18"/>
    <x v="2"/>
    <x v="3"/>
    <n v="6"/>
    <n v="950"/>
    <n v="5700"/>
  </r>
  <r>
    <d v="2011-01-23T00:00:00"/>
    <x v="18"/>
    <x v="2"/>
    <x v="3"/>
    <n v="1"/>
    <n v="950"/>
    <n v="950"/>
  </r>
  <r>
    <d v="2014-11-04T00:00:00"/>
    <x v="18"/>
    <x v="2"/>
    <x v="3"/>
    <n v="5"/>
    <n v="820"/>
    <n v="4100"/>
  </r>
  <r>
    <d v="2011-12-15T00:00:00"/>
    <x v="18"/>
    <x v="3"/>
    <x v="4"/>
    <n v="3"/>
    <n v="450"/>
    <n v="1350"/>
  </r>
  <r>
    <d v="2014-02-17T00:00:00"/>
    <x v="18"/>
    <x v="0"/>
    <x v="3"/>
    <n v="111"/>
    <n v="820"/>
    <n v="91020"/>
  </r>
  <r>
    <d v="2010-03-11T00:00:00"/>
    <x v="18"/>
    <x v="2"/>
    <x v="1"/>
    <n v="33"/>
    <n v="1200"/>
    <n v="39600"/>
  </r>
  <r>
    <d v="2014-09-29T00:00:00"/>
    <x v="18"/>
    <x v="3"/>
    <x v="4"/>
    <n v="2"/>
    <n v="450"/>
    <n v="900"/>
  </r>
  <r>
    <d v="2011-08-05T00:00:00"/>
    <x v="18"/>
    <x v="5"/>
    <x v="3"/>
    <n v="171"/>
    <n v="820"/>
    <n v="140220"/>
  </r>
  <r>
    <d v="2014-01-09T00:00:00"/>
    <x v="18"/>
    <x v="3"/>
    <x v="2"/>
    <n v="11"/>
    <n v="800"/>
    <n v="8800"/>
  </r>
  <r>
    <d v="2013-01-06T00:00:00"/>
    <x v="18"/>
    <x v="2"/>
    <x v="3"/>
    <n v="6"/>
    <n v="950"/>
    <n v="5700"/>
  </r>
  <r>
    <d v="2012-08-22T00:00:00"/>
    <x v="18"/>
    <x v="5"/>
    <x v="1"/>
    <n v="44"/>
    <n v="1200"/>
    <n v="52800"/>
  </r>
  <r>
    <d v="2011-12-21T00:00:00"/>
    <x v="18"/>
    <x v="4"/>
    <x v="3"/>
    <n v="41"/>
    <n v="950"/>
    <n v="38950"/>
  </r>
  <r>
    <d v="2011-06-26T00:00:00"/>
    <x v="18"/>
    <x v="2"/>
    <x v="1"/>
    <n v="27"/>
    <n v="1200"/>
    <n v="32400"/>
  </r>
  <r>
    <d v="2014-10-15T00:00:00"/>
    <x v="18"/>
    <x v="5"/>
    <x v="4"/>
    <n v="17"/>
    <n v="450"/>
    <n v="7650"/>
  </r>
  <r>
    <d v="2010-04-06T00:00:00"/>
    <x v="18"/>
    <x v="5"/>
    <x v="3"/>
    <n v="37"/>
    <n v="820"/>
    <n v="30340"/>
  </r>
  <r>
    <d v="2012-11-06T00:00:00"/>
    <x v="18"/>
    <x v="0"/>
    <x v="4"/>
    <n v="67"/>
    <n v="450"/>
    <n v="30150"/>
  </r>
  <r>
    <d v="2013-01-21T00:00:00"/>
    <x v="18"/>
    <x v="3"/>
    <x v="2"/>
    <n v="26"/>
    <n v="800"/>
    <n v="20800"/>
  </r>
  <r>
    <d v="2010-08-27T00:00:00"/>
    <x v="18"/>
    <x v="5"/>
    <x v="3"/>
    <n v="36"/>
    <n v="820"/>
    <n v="29520"/>
  </r>
  <r>
    <d v="2011-06-25T00:00:00"/>
    <x v="18"/>
    <x v="0"/>
    <x v="1"/>
    <n v="38"/>
    <n v="1200"/>
    <n v="45600"/>
  </r>
  <r>
    <d v="2013-04-23T00:00:00"/>
    <x v="18"/>
    <x v="3"/>
    <x v="3"/>
    <n v="62"/>
    <n v="820"/>
    <n v="50840"/>
  </r>
  <r>
    <d v="2012-04-25T00:00:00"/>
    <x v="18"/>
    <x v="5"/>
    <x v="3"/>
    <n v="83"/>
    <n v="950"/>
    <n v="78850"/>
  </r>
  <r>
    <d v="2013-05-21T00:00:00"/>
    <x v="18"/>
    <x v="4"/>
    <x v="3"/>
    <n v="30"/>
    <n v="820"/>
    <n v="24600"/>
  </r>
  <r>
    <d v="2014-06-04T00:00:00"/>
    <x v="18"/>
    <x v="1"/>
    <x v="3"/>
    <n v="30"/>
    <n v="820"/>
    <n v="24600"/>
  </r>
  <r>
    <d v="2013-07-02T00:00:00"/>
    <x v="18"/>
    <x v="5"/>
    <x v="1"/>
    <n v="36"/>
    <n v="1200"/>
    <n v="43200"/>
  </r>
  <r>
    <d v="2011-12-20T00:00:00"/>
    <x v="18"/>
    <x v="0"/>
    <x v="0"/>
    <n v="33"/>
    <n v="650"/>
    <n v="21450"/>
  </r>
  <r>
    <d v="2014-03-09T00:00:00"/>
    <x v="18"/>
    <x v="4"/>
    <x v="2"/>
    <n v="169"/>
    <n v="800"/>
    <n v="135200"/>
  </r>
  <r>
    <d v="2013-06-01T00:00:00"/>
    <x v="18"/>
    <x v="0"/>
    <x v="3"/>
    <n v="25"/>
    <n v="820"/>
    <n v="20500"/>
  </r>
  <r>
    <d v="2011-01-02T00:00:00"/>
    <x v="18"/>
    <x v="4"/>
    <x v="2"/>
    <n v="15"/>
    <n v="800"/>
    <n v="12000"/>
  </r>
  <r>
    <d v="2011-11-22T00:00:00"/>
    <x v="18"/>
    <x v="5"/>
    <x v="3"/>
    <n v="24"/>
    <n v="820"/>
    <n v="19680"/>
  </r>
  <r>
    <d v="2010-08-03T00:00:00"/>
    <x v="18"/>
    <x v="4"/>
    <x v="4"/>
    <n v="75"/>
    <n v="450"/>
    <n v="33750"/>
  </r>
  <r>
    <d v="2010-01-18T00:00:00"/>
    <x v="18"/>
    <x v="5"/>
    <x v="1"/>
    <n v="68"/>
    <n v="1200"/>
    <n v="81600"/>
  </r>
  <r>
    <d v="2010-03-03T00:00:00"/>
    <x v="18"/>
    <x v="3"/>
    <x v="0"/>
    <n v="40"/>
    <n v="650"/>
    <n v="26000"/>
  </r>
  <r>
    <d v="2014-03-19T00:00:00"/>
    <x v="18"/>
    <x v="1"/>
    <x v="1"/>
    <n v="39"/>
    <n v="1200"/>
    <n v="46800"/>
  </r>
  <r>
    <d v="2012-12-27T00:00:00"/>
    <x v="18"/>
    <x v="2"/>
    <x v="3"/>
    <n v="13"/>
    <n v="950"/>
    <n v="12350"/>
  </r>
  <r>
    <d v="2010-08-25T00:00:00"/>
    <x v="18"/>
    <x v="5"/>
    <x v="2"/>
    <n v="126"/>
    <n v="800"/>
    <n v="100800"/>
  </r>
  <r>
    <d v="2013-10-26T00:00:00"/>
    <x v="18"/>
    <x v="0"/>
    <x v="3"/>
    <n v="93"/>
    <n v="950"/>
    <n v="88350"/>
  </r>
  <r>
    <d v="2012-09-25T00:00:00"/>
    <x v="18"/>
    <x v="3"/>
    <x v="3"/>
    <n v="61"/>
    <n v="950"/>
    <n v="57950"/>
  </r>
  <r>
    <d v="2014-05-06T00:00:00"/>
    <x v="19"/>
    <x v="4"/>
    <x v="2"/>
    <n v="6"/>
    <n v="800"/>
    <n v="4800"/>
  </r>
  <r>
    <d v="2012-11-23T00:00:00"/>
    <x v="19"/>
    <x v="0"/>
    <x v="3"/>
    <n v="20"/>
    <n v="950"/>
    <n v="19000"/>
  </r>
  <r>
    <d v="2011-09-27T00:00:00"/>
    <x v="19"/>
    <x v="5"/>
    <x v="0"/>
    <n v="143"/>
    <n v="650"/>
    <n v="92950"/>
  </r>
  <r>
    <d v="2013-10-13T00:00:00"/>
    <x v="19"/>
    <x v="5"/>
    <x v="1"/>
    <n v="66"/>
    <n v="1200"/>
    <n v="79200"/>
  </r>
  <r>
    <d v="2012-11-12T00:00:00"/>
    <x v="19"/>
    <x v="2"/>
    <x v="1"/>
    <n v="12"/>
    <n v="1200"/>
    <n v="14400"/>
  </r>
  <r>
    <d v="2010-12-01T00:00:00"/>
    <x v="19"/>
    <x v="0"/>
    <x v="2"/>
    <n v="27"/>
    <n v="800"/>
    <n v="21600"/>
  </r>
  <r>
    <d v="2010-03-01T00:00:00"/>
    <x v="19"/>
    <x v="5"/>
    <x v="4"/>
    <n v="5"/>
    <n v="450"/>
    <n v="2250"/>
  </r>
  <r>
    <d v="2011-09-24T00:00:00"/>
    <x v="19"/>
    <x v="1"/>
    <x v="0"/>
    <n v="14"/>
    <n v="650"/>
    <n v="9100"/>
  </r>
  <r>
    <d v="2010-12-13T00:00:00"/>
    <x v="19"/>
    <x v="4"/>
    <x v="4"/>
    <n v="70"/>
    <n v="450"/>
    <n v="31500"/>
  </r>
  <r>
    <d v="2012-10-28T00:00:00"/>
    <x v="19"/>
    <x v="1"/>
    <x v="2"/>
    <n v="9"/>
    <n v="800"/>
    <n v="7200"/>
  </r>
  <r>
    <d v="2012-08-23T00:00:00"/>
    <x v="19"/>
    <x v="2"/>
    <x v="4"/>
    <n v="21"/>
    <n v="450"/>
    <n v="9450"/>
  </r>
  <r>
    <d v="2010-09-16T00:00:00"/>
    <x v="19"/>
    <x v="0"/>
    <x v="3"/>
    <n v="70"/>
    <n v="820"/>
    <n v="57400"/>
  </r>
  <r>
    <d v="2014-09-05T00:00:00"/>
    <x v="19"/>
    <x v="2"/>
    <x v="3"/>
    <n v="21"/>
    <n v="950"/>
    <n v="19950"/>
  </r>
  <r>
    <d v="2013-12-07T00:00:00"/>
    <x v="19"/>
    <x v="5"/>
    <x v="4"/>
    <n v="3"/>
    <n v="450"/>
    <n v="1350"/>
  </r>
  <r>
    <d v="2014-08-21T00:00:00"/>
    <x v="19"/>
    <x v="4"/>
    <x v="4"/>
    <n v="143"/>
    <n v="450"/>
    <n v="64350"/>
  </r>
  <r>
    <d v="2011-10-27T00:00:00"/>
    <x v="19"/>
    <x v="1"/>
    <x v="3"/>
    <n v="12"/>
    <n v="820"/>
    <n v="9840"/>
  </r>
  <r>
    <d v="2013-05-14T00:00:00"/>
    <x v="19"/>
    <x v="1"/>
    <x v="2"/>
    <n v="15"/>
    <n v="800"/>
    <n v="12000"/>
  </r>
  <r>
    <d v="2010-10-31T00:00:00"/>
    <x v="19"/>
    <x v="1"/>
    <x v="1"/>
    <n v="28"/>
    <n v="1200"/>
    <n v="33600"/>
  </r>
  <r>
    <d v="2013-04-19T00:00:00"/>
    <x v="19"/>
    <x v="3"/>
    <x v="4"/>
    <n v="51"/>
    <n v="450"/>
    <n v="22950"/>
  </r>
  <r>
    <d v="2010-06-01T00:00:00"/>
    <x v="19"/>
    <x v="1"/>
    <x v="1"/>
    <n v="13"/>
    <n v="1200"/>
    <n v="15600"/>
  </r>
  <r>
    <d v="2014-09-23T00:00:00"/>
    <x v="19"/>
    <x v="1"/>
    <x v="1"/>
    <n v="51"/>
    <n v="1200"/>
    <n v="61200"/>
  </r>
  <r>
    <d v="2014-05-27T00:00:00"/>
    <x v="19"/>
    <x v="0"/>
    <x v="1"/>
    <n v="92"/>
    <n v="1200"/>
    <n v="110400"/>
  </r>
  <r>
    <d v="2013-08-10T00:00:00"/>
    <x v="19"/>
    <x v="0"/>
    <x v="4"/>
    <n v="8"/>
    <n v="450"/>
    <n v="3600"/>
  </r>
  <r>
    <d v="2014-03-30T00:00:00"/>
    <x v="19"/>
    <x v="3"/>
    <x v="3"/>
    <n v="38"/>
    <n v="820"/>
    <n v="31160"/>
  </r>
  <r>
    <d v="2014-04-03T00:00:00"/>
    <x v="19"/>
    <x v="4"/>
    <x v="0"/>
    <n v="136"/>
    <n v="650"/>
    <n v="88400"/>
  </r>
  <r>
    <d v="2013-06-05T00:00:00"/>
    <x v="19"/>
    <x v="3"/>
    <x v="0"/>
    <n v="64"/>
    <n v="650"/>
    <n v="41600"/>
  </r>
  <r>
    <d v="2011-04-08T00:00:00"/>
    <x v="19"/>
    <x v="4"/>
    <x v="4"/>
    <n v="28"/>
    <n v="450"/>
    <n v="12600"/>
  </r>
  <r>
    <d v="2011-04-10T00:00:00"/>
    <x v="19"/>
    <x v="4"/>
    <x v="1"/>
    <n v="30"/>
    <n v="1200"/>
    <n v="36000"/>
  </r>
  <r>
    <d v="2014-01-20T00:00:00"/>
    <x v="19"/>
    <x v="3"/>
    <x v="0"/>
    <n v="51"/>
    <n v="650"/>
    <n v="33150"/>
  </r>
  <r>
    <d v="2013-07-29T00:00:00"/>
    <x v="19"/>
    <x v="2"/>
    <x v="2"/>
    <n v="12"/>
    <n v="800"/>
    <n v="9600"/>
  </r>
  <r>
    <d v="2010-10-05T00:00:00"/>
    <x v="19"/>
    <x v="2"/>
    <x v="3"/>
    <n v="6"/>
    <n v="950"/>
    <n v="5700"/>
  </r>
  <r>
    <d v="2013-11-23T00:00:00"/>
    <x v="19"/>
    <x v="1"/>
    <x v="4"/>
    <n v="17"/>
    <n v="450"/>
    <n v="7650"/>
  </r>
  <r>
    <d v="2010-04-21T00:00:00"/>
    <x v="19"/>
    <x v="3"/>
    <x v="3"/>
    <n v="25"/>
    <n v="820"/>
    <n v="20500"/>
  </r>
  <r>
    <d v="2013-05-16T00:00:00"/>
    <x v="19"/>
    <x v="4"/>
    <x v="4"/>
    <n v="122"/>
    <n v="450"/>
    <n v="54900"/>
  </r>
  <r>
    <d v="2012-02-04T00:00:00"/>
    <x v="19"/>
    <x v="5"/>
    <x v="2"/>
    <n v="13"/>
    <n v="800"/>
    <n v="10400"/>
  </r>
  <r>
    <d v="2012-01-05T00:00:00"/>
    <x v="19"/>
    <x v="4"/>
    <x v="4"/>
    <n v="103"/>
    <n v="450"/>
    <n v="46350"/>
  </r>
  <r>
    <d v="2011-01-10T00:00:00"/>
    <x v="19"/>
    <x v="3"/>
    <x v="3"/>
    <n v="43"/>
    <n v="820"/>
    <n v="35260"/>
  </r>
  <r>
    <d v="2014-11-18T00:00:00"/>
    <x v="19"/>
    <x v="0"/>
    <x v="1"/>
    <n v="98"/>
    <n v="1200"/>
    <n v="117600"/>
  </r>
  <r>
    <d v="2012-03-31T00:00:00"/>
    <x v="19"/>
    <x v="5"/>
    <x v="3"/>
    <n v="48"/>
    <n v="950"/>
    <n v="45600"/>
  </r>
  <r>
    <d v="2013-09-03T00:00:00"/>
    <x v="19"/>
    <x v="2"/>
    <x v="0"/>
    <n v="7"/>
    <n v="650"/>
    <n v="4550"/>
  </r>
  <r>
    <d v="2012-05-24T00:00:00"/>
    <x v="19"/>
    <x v="1"/>
    <x v="0"/>
    <n v="2"/>
    <n v="650"/>
    <n v="1300"/>
  </r>
  <r>
    <d v="2014-02-01T00:00:00"/>
    <x v="19"/>
    <x v="3"/>
    <x v="0"/>
    <n v="157"/>
    <n v="650"/>
    <n v="102050"/>
  </r>
  <r>
    <d v="2013-07-15T00:00:00"/>
    <x v="19"/>
    <x v="4"/>
    <x v="1"/>
    <n v="24"/>
    <n v="1200"/>
    <n v="28800"/>
  </r>
  <r>
    <d v="2013-09-27T00:00:00"/>
    <x v="19"/>
    <x v="3"/>
    <x v="1"/>
    <n v="114"/>
    <n v="1200"/>
    <n v="136800"/>
  </r>
  <r>
    <d v="2013-07-10T00:00:00"/>
    <x v="19"/>
    <x v="3"/>
    <x v="2"/>
    <n v="53"/>
    <n v="800"/>
    <n v="42400"/>
  </r>
  <r>
    <d v="2014-02-16T00:00:00"/>
    <x v="19"/>
    <x v="4"/>
    <x v="3"/>
    <n v="175"/>
    <n v="950"/>
    <n v="166250"/>
  </r>
  <r>
    <d v="2010-12-10T00:00:00"/>
    <x v="19"/>
    <x v="3"/>
    <x v="4"/>
    <n v="39"/>
    <n v="450"/>
    <n v="17550"/>
  </r>
  <r>
    <d v="2010-10-01T00:00:00"/>
    <x v="19"/>
    <x v="4"/>
    <x v="1"/>
    <n v="66"/>
    <n v="1200"/>
    <n v="79200"/>
  </r>
  <r>
    <d v="2013-03-07T00:00:00"/>
    <x v="19"/>
    <x v="5"/>
    <x v="3"/>
    <n v="193"/>
    <n v="820"/>
    <n v="158260"/>
  </r>
  <r>
    <d v="2012-04-14T00:00:00"/>
    <x v="19"/>
    <x v="5"/>
    <x v="3"/>
    <n v="37"/>
    <n v="820"/>
    <n v="303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6">
  <r>
    <x v="0"/>
    <x v="0"/>
    <x v="0"/>
    <x v="0"/>
    <n v="13"/>
    <n v="650"/>
    <n v="8450"/>
  </r>
  <r>
    <x v="1"/>
    <x v="0"/>
    <x v="1"/>
    <x v="1"/>
    <n v="1"/>
    <n v="1200"/>
    <n v="1200"/>
  </r>
  <r>
    <x v="2"/>
    <x v="0"/>
    <x v="2"/>
    <x v="1"/>
    <n v="20"/>
    <n v="1200"/>
    <n v="24000"/>
  </r>
  <r>
    <x v="3"/>
    <x v="0"/>
    <x v="3"/>
    <x v="2"/>
    <n v="64"/>
    <n v="800"/>
    <n v="51200"/>
  </r>
  <r>
    <x v="4"/>
    <x v="0"/>
    <x v="0"/>
    <x v="2"/>
    <n v="58"/>
    <n v="800"/>
    <n v="46400"/>
  </r>
  <r>
    <x v="5"/>
    <x v="0"/>
    <x v="2"/>
    <x v="2"/>
    <n v="18"/>
    <n v="800"/>
    <n v="14400"/>
  </r>
  <r>
    <x v="6"/>
    <x v="0"/>
    <x v="2"/>
    <x v="3"/>
    <n v="9"/>
    <n v="950"/>
    <n v="8550"/>
  </r>
  <r>
    <x v="7"/>
    <x v="0"/>
    <x v="2"/>
    <x v="4"/>
    <n v="18"/>
    <n v="450"/>
    <n v="8100"/>
  </r>
  <r>
    <x v="8"/>
    <x v="0"/>
    <x v="4"/>
    <x v="0"/>
    <n v="51"/>
    <n v="650"/>
    <n v="33150"/>
  </r>
  <r>
    <x v="9"/>
    <x v="0"/>
    <x v="4"/>
    <x v="2"/>
    <n v="27"/>
    <n v="800"/>
    <n v="21600"/>
  </r>
  <r>
    <x v="10"/>
    <x v="0"/>
    <x v="5"/>
    <x v="2"/>
    <n v="26"/>
    <n v="800"/>
    <n v="20800"/>
  </r>
  <r>
    <x v="11"/>
    <x v="0"/>
    <x v="4"/>
    <x v="1"/>
    <n v="36"/>
    <n v="1200"/>
    <n v="43200"/>
  </r>
  <r>
    <x v="12"/>
    <x v="0"/>
    <x v="0"/>
    <x v="3"/>
    <n v="27"/>
    <n v="950"/>
    <n v="25650"/>
  </r>
  <r>
    <x v="13"/>
    <x v="0"/>
    <x v="2"/>
    <x v="3"/>
    <n v="13"/>
    <n v="950"/>
    <n v="12350"/>
  </r>
  <r>
    <x v="14"/>
    <x v="0"/>
    <x v="4"/>
    <x v="3"/>
    <n v="1"/>
    <n v="820"/>
    <n v="820"/>
  </r>
  <r>
    <x v="15"/>
    <x v="0"/>
    <x v="2"/>
    <x v="3"/>
    <n v="1"/>
    <n v="820"/>
    <n v="820"/>
  </r>
  <r>
    <x v="16"/>
    <x v="0"/>
    <x v="5"/>
    <x v="3"/>
    <n v="24"/>
    <n v="820"/>
    <n v="19680"/>
  </r>
  <r>
    <x v="17"/>
    <x v="0"/>
    <x v="2"/>
    <x v="3"/>
    <n v="11"/>
    <n v="820"/>
    <n v="9020"/>
  </r>
  <r>
    <x v="18"/>
    <x v="0"/>
    <x v="0"/>
    <x v="1"/>
    <n v="63"/>
    <n v="1200"/>
    <n v="75600"/>
  </r>
  <r>
    <x v="19"/>
    <x v="0"/>
    <x v="5"/>
    <x v="3"/>
    <n v="17"/>
    <n v="820"/>
    <n v="13940"/>
  </r>
  <r>
    <x v="20"/>
    <x v="0"/>
    <x v="0"/>
    <x v="3"/>
    <n v="116"/>
    <n v="950"/>
    <n v="110200"/>
  </r>
  <r>
    <x v="21"/>
    <x v="0"/>
    <x v="3"/>
    <x v="3"/>
    <n v="27"/>
    <n v="820"/>
    <n v="22140"/>
  </r>
  <r>
    <x v="22"/>
    <x v="0"/>
    <x v="0"/>
    <x v="3"/>
    <n v="41"/>
    <n v="950"/>
    <n v="38950"/>
  </r>
  <r>
    <x v="23"/>
    <x v="0"/>
    <x v="5"/>
    <x v="2"/>
    <n v="6"/>
    <n v="800"/>
    <n v="4800"/>
  </r>
  <r>
    <x v="24"/>
    <x v="0"/>
    <x v="4"/>
    <x v="1"/>
    <n v="130"/>
    <n v="1200"/>
    <n v="156000"/>
  </r>
  <r>
    <x v="25"/>
    <x v="0"/>
    <x v="1"/>
    <x v="2"/>
    <n v="44"/>
    <n v="800"/>
    <n v="35200"/>
  </r>
  <r>
    <x v="26"/>
    <x v="0"/>
    <x v="1"/>
    <x v="2"/>
    <n v="4"/>
    <n v="800"/>
    <n v="3200"/>
  </r>
  <r>
    <x v="27"/>
    <x v="0"/>
    <x v="3"/>
    <x v="3"/>
    <n v="108"/>
    <n v="820"/>
    <n v="88560"/>
  </r>
  <r>
    <x v="28"/>
    <x v="0"/>
    <x v="5"/>
    <x v="3"/>
    <n v="58"/>
    <n v="820"/>
    <n v="47560"/>
  </r>
  <r>
    <x v="29"/>
    <x v="0"/>
    <x v="5"/>
    <x v="0"/>
    <n v="42"/>
    <n v="650"/>
    <n v="27300"/>
  </r>
  <r>
    <x v="30"/>
    <x v="0"/>
    <x v="5"/>
    <x v="2"/>
    <n v="69"/>
    <n v="800"/>
    <n v="55200"/>
  </r>
  <r>
    <x v="31"/>
    <x v="0"/>
    <x v="0"/>
    <x v="0"/>
    <n v="69"/>
    <n v="650"/>
    <n v="44850"/>
  </r>
  <r>
    <x v="32"/>
    <x v="0"/>
    <x v="4"/>
    <x v="1"/>
    <n v="64"/>
    <n v="1200"/>
    <n v="76800"/>
  </r>
  <r>
    <x v="33"/>
    <x v="0"/>
    <x v="5"/>
    <x v="2"/>
    <n v="41"/>
    <n v="800"/>
    <n v="32800"/>
  </r>
  <r>
    <x v="34"/>
    <x v="0"/>
    <x v="2"/>
    <x v="2"/>
    <n v="14"/>
    <n v="800"/>
    <n v="11200"/>
  </r>
  <r>
    <x v="35"/>
    <x v="0"/>
    <x v="4"/>
    <x v="2"/>
    <n v="9"/>
    <n v="800"/>
    <n v="7200"/>
  </r>
  <r>
    <x v="36"/>
    <x v="0"/>
    <x v="5"/>
    <x v="2"/>
    <n v="79"/>
    <n v="800"/>
    <n v="63200"/>
  </r>
  <r>
    <x v="37"/>
    <x v="0"/>
    <x v="1"/>
    <x v="3"/>
    <n v="8"/>
    <n v="820"/>
    <n v="6560"/>
  </r>
  <r>
    <x v="38"/>
    <x v="0"/>
    <x v="1"/>
    <x v="1"/>
    <n v="28"/>
    <n v="1200"/>
    <n v="33600"/>
  </r>
  <r>
    <x v="39"/>
    <x v="0"/>
    <x v="3"/>
    <x v="3"/>
    <n v="13"/>
    <n v="950"/>
    <n v="12350"/>
  </r>
  <r>
    <x v="40"/>
    <x v="0"/>
    <x v="2"/>
    <x v="2"/>
    <n v="7"/>
    <n v="800"/>
    <n v="5600"/>
  </r>
  <r>
    <x v="41"/>
    <x v="0"/>
    <x v="3"/>
    <x v="2"/>
    <n v="20"/>
    <n v="800"/>
    <n v="16000"/>
  </r>
  <r>
    <x v="42"/>
    <x v="0"/>
    <x v="1"/>
    <x v="1"/>
    <n v="31"/>
    <n v="1200"/>
    <n v="37200"/>
  </r>
  <r>
    <x v="43"/>
    <x v="0"/>
    <x v="4"/>
    <x v="2"/>
    <n v="66"/>
    <n v="800"/>
    <n v="52800"/>
  </r>
  <r>
    <x v="44"/>
    <x v="0"/>
    <x v="3"/>
    <x v="2"/>
    <n v="42"/>
    <n v="800"/>
    <n v="33600"/>
  </r>
  <r>
    <x v="45"/>
    <x v="0"/>
    <x v="3"/>
    <x v="2"/>
    <n v="38"/>
    <n v="800"/>
    <n v="30400"/>
  </r>
  <r>
    <x v="46"/>
    <x v="0"/>
    <x v="3"/>
    <x v="2"/>
    <n v="70"/>
    <n v="800"/>
    <n v="56000"/>
  </r>
  <r>
    <x v="47"/>
    <x v="0"/>
    <x v="5"/>
    <x v="0"/>
    <n v="226"/>
    <n v="650"/>
    <n v="146900"/>
  </r>
  <r>
    <x v="48"/>
    <x v="0"/>
    <x v="4"/>
    <x v="1"/>
    <n v="83"/>
    <n v="1200"/>
    <n v="99600"/>
  </r>
  <r>
    <x v="49"/>
    <x v="0"/>
    <x v="5"/>
    <x v="3"/>
    <n v="70"/>
    <n v="820"/>
    <n v="57400"/>
  </r>
  <r>
    <x v="50"/>
    <x v="0"/>
    <x v="1"/>
    <x v="1"/>
    <n v="15"/>
    <n v="1200"/>
    <n v="18000"/>
  </r>
  <r>
    <x v="51"/>
    <x v="0"/>
    <x v="1"/>
    <x v="1"/>
    <n v="89"/>
    <n v="1200"/>
    <n v="106800"/>
  </r>
  <r>
    <x v="52"/>
    <x v="0"/>
    <x v="0"/>
    <x v="1"/>
    <n v="87"/>
    <n v="1200"/>
    <n v="104400"/>
  </r>
  <r>
    <x v="53"/>
    <x v="0"/>
    <x v="2"/>
    <x v="3"/>
    <n v="17"/>
    <n v="820"/>
    <n v="13940"/>
  </r>
  <r>
    <x v="54"/>
    <x v="0"/>
    <x v="4"/>
    <x v="0"/>
    <n v="107"/>
    <n v="650"/>
    <n v="69550"/>
  </r>
  <r>
    <x v="55"/>
    <x v="0"/>
    <x v="2"/>
    <x v="2"/>
    <n v="3"/>
    <n v="800"/>
    <n v="2400"/>
  </r>
  <r>
    <x v="56"/>
    <x v="0"/>
    <x v="0"/>
    <x v="3"/>
    <n v="59"/>
    <n v="820"/>
    <n v="48380"/>
  </r>
  <r>
    <x v="57"/>
    <x v="0"/>
    <x v="0"/>
    <x v="1"/>
    <n v="34"/>
    <n v="1200"/>
    <n v="40800"/>
  </r>
  <r>
    <x v="58"/>
    <x v="0"/>
    <x v="4"/>
    <x v="2"/>
    <n v="62"/>
    <n v="800"/>
    <n v="49600"/>
  </r>
  <r>
    <x v="59"/>
    <x v="0"/>
    <x v="1"/>
    <x v="2"/>
    <n v="55"/>
    <n v="800"/>
    <n v="44000"/>
  </r>
  <r>
    <x v="60"/>
    <x v="0"/>
    <x v="4"/>
    <x v="3"/>
    <n v="44"/>
    <n v="820"/>
    <n v="36080"/>
  </r>
  <r>
    <x v="61"/>
    <x v="0"/>
    <x v="1"/>
    <x v="3"/>
    <n v="7"/>
    <n v="820"/>
    <n v="5740"/>
  </r>
  <r>
    <x v="62"/>
    <x v="0"/>
    <x v="5"/>
    <x v="1"/>
    <n v="187"/>
    <n v="1200"/>
    <n v="224400"/>
  </r>
  <r>
    <x v="14"/>
    <x v="0"/>
    <x v="3"/>
    <x v="3"/>
    <n v="18"/>
    <n v="950"/>
    <n v="17100"/>
  </r>
  <r>
    <x v="63"/>
    <x v="1"/>
    <x v="3"/>
    <x v="1"/>
    <n v="70"/>
    <n v="1200"/>
    <n v="84000"/>
  </r>
  <r>
    <x v="64"/>
    <x v="1"/>
    <x v="2"/>
    <x v="1"/>
    <n v="18"/>
    <n v="1200"/>
    <n v="21600"/>
  </r>
  <r>
    <x v="65"/>
    <x v="1"/>
    <x v="3"/>
    <x v="2"/>
    <n v="118"/>
    <n v="800"/>
    <n v="94400"/>
  </r>
  <r>
    <x v="66"/>
    <x v="1"/>
    <x v="0"/>
    <x v="3"/>
    <n v="21"/>
    <n v="950"/>
    <n v="19950"/>
  </r>
  <r>
    <x v="67"/>
    <x v="1"/>
    <x v="4"/>
    <x v="3"/>
    <n v="36"/>
    <n v="950"/>
    <n v="34200"/>
  </r>
  <r>
    <x v="68"/>
    <x v="1"/>
    <x v="0"/>
    <x v="4"/>
    <n v="55"/>
    <n v="450"/>
    <n v="24750"/>
  </r>
  <r>
    <x v="69"/>
    <x v="1"/>
    <x v="0"/>
    <x v="0"/>
    <n v="83"/>
    <n v="650"/>
    <n v="53950"/>
  </r>
  <r>
    <x v="70"/>
    <x v="1"/>
    <x v="4"/>
    <x v="4"/>
    <n v="28"/>
    <n v="450"/>
    <n v="12600"/>
  </r>
  <r>
    <x v="71"/>
    <x v="1"/>
    <x v="4"/>
    <x v="3"/>
    <n v="233"/>
    <n v="950"/>
    <n v="221350"/>
  </r>
  <r>
    <x v="72"/>
    <x v="1"/>
    <x v="1"/>
    <x v="3"/>
    <n v="26"/>
    <n v="820"/>
    <n v="21320"/>
  </r>
  <r>
    <x v="73"/>
    <x v="1"/>
    <x v="3"/>
    <x v="0"/>
    <n v="44"/>
    <n v="650"/>
    <n v="28600"/>
  </r>
  <r>
    <x v="34"/>
    <x v="1"/>
    <x v="3"/>
    <x v="1"/>
    <n v="48"/>
    <n v="1200"/>
    <n v="57600"/>
  </r>
  <r>
    <x v="74"/>
    <x v="1"/>
    <x v="2"/>
    <x v="3"/>
    <n v="6"/>
    <n v="820"/>
    <n v="4920"/>
  </r>
  <r>
    <x v="16"/>
    <x v="1"/>
    <x v="1"/>
    <x v="1"/>
    <n v="70"/>
    <n v="1200"/>
    <n v="84000"/>
  </r>
  <r>
    <x v="75"/>
    <x v="1"/>
    <x v="5"/>
    <x v="3"/>
    <n v="25"/>
    <n v="820"/>
    <n v="20500"/>
  </r>
  <r>
    <x v="76"/>
    <x v="1"/>
    <x v="0"/>
    <x v="2"/>
    <n v="107"/>
    <n v="800"/>
    <n v="85600"/>
  </r>
  <r>
    <x v="77"/>
    <x v="1"/>
    <x v="0"/>
    <x v="3"/>
    <n v="10"/>
    <n v="820"/>
    <n v="8200"/>
  </r>
  <r>
    <x v="78"/>
    <x v="1"/>
    <x v="4"/>
    <x v="4"/>
    <n v="23"/>
    <n v="450"/>
    <n v="10350"/>
  </r>
  <r>
    <x v="79"/>
    <x v="1"/>
    <x v="0"/>
    <x v="3"/>
    <n v="75"/>
    <n v="820"/>
    <n v="61500"/>
  </r>
  <r>
    <x v="80"/>
    <x v="1"/>
    <x v="5"/>
    <x v="2"/>
    <n v="208"/>
    <n v="800"/>
    <n v="166400"/>
  </r>
  <r>
    <x v="81"/>
    <x v="1"/>
    <x v="4"/>
    <x v="1"/>
    <n v="161"/>
    <n v="1200"/>
    <n v="193200"/>
  </r>
  <r>
    <x v="82"/>
    <x v="1"/>
    <x v="4"/>
    <x v="2"/>
    <n v="91"/>
    <n v="800"/>
    <n v="72800"/>
  </r>
  <r>
    <x v="83"/>
    <x v="1"/>
    <x v="0"/>
    <x v="2"/>
    <n v="7"/>
    <n v="800"/>
    <n v="5600"/>
  </r>
  <r>
    <x v="84"/>
    <x v="1"/>
    <x v="4"/>
    <x v="3"/>
    <n v="22"/>
    <n v="820"/>
    <n v="18040"/>
  </r>
  <r>
    <x v="85"/>
    <x v="1"/>
    <x v="3"/>
    <x v="0"/>
    <n v="36"/>
    <n v="650"/>
    <n v="23400"/>
  </r>
  <r>
    <x v="86"/>
    <x v="1"/>
    <x v="5"/>
    <x v="2"/>
    <n v="112"/>
    <n v="800"/>
    <n v="89600"/>
  </r>
  <r>
    <x v="87"/>
    <x v="1"/>
    <x v="2"/>
    <x v="3"/>
    <n v="15"/>
    <n v="820"/>
    <n v="12300"/>
  </r>
  <r>
    <x v="88"/>
    <x v="1"/>
    <x v="5"/>
    <x v="3"/>
    <n v="65"/>
    <n v="820"/>
    <n v="53300"/>
  </r>
  <r>
    <x v="89"/>
    <x v="1"/>
    <x v="4"/>
    <x v="2"/>
    <n v="87"/>
    <n v="800"/>
    <n v="69600"/>
  </r>
  <r>
    <x v="90"/>
    <x v="1"/>
    <x v="5"/>
    <x v="2"/>
    <n v="1"/>
    <n v="800"/>
    <n v="800"/>
  </r>
  <r>
    <x v="91"/>
    <x v="1"/>
    <x v="3"/>
    <x v="2"/>
    <n v="57"/>
    <n v="800"/>
    <n v="45600"/>
  </r>
  <r>
    <x v="92"/>
    <x v="1"/>
    <x v="1"/>
    <x v="1"/>
    <n v="22"/>
    <n v="1200"/>
    <n v="26400"/>
  </r>
  <r>
    <x v="93"/>
    <x v="1"/>
    <x v="1"/>
    <x v="0"/>
    <n v="48"/>
    <n v="650"/>
    <n v="31200"/>
  </r>
  <r>
    <x v="94"/>
    <x v="1"/>
    <x v="0"/>
    <x v="2"/>
    <n v="15"/>
    <n v="800"/>
    <n v="12000"/>
  </r>
  <r>
    <x v="29"/>
    <x v="1"/>
    <x v="2"/>
    <x v="0"/>
    <n v="1"/>
    <n v="650"/>
    <n v="650"/>
  </r>
  <r>
    <x v="95"/>
    <x v="1"/>
    <x v="4"/>
    <x v="3"/>
    <n v="56"/>
    <n v="820"/>
    <n v="45920"/>
  </r>
  <r>
    <x v="96"/>
    <x v="1"/>
    <x v="0"/>
    <x v="3"/>
    <n v="6"/>
    <n v="820"/>
    <n v="4920"/>
  </r>
  <r>
    <x v="97"/>
    <x v="1"/>
    <x v="0"/>
    <x v="3"/>
    <n v="114"/>
    <n v="820"/>
    <n v="93480"/>
  </r>
  <r>
    <x v="98"/>
    <x v="1"/>
    <x v="1"/>
    <x v="3"/>
    <n v="16"/>
    <n v="950"/>
    <n v="15200"/>
  </r>
  <r>
    <x v="99"/>
    <x v="1"/>
    <x v="0"/>
    <x v="3"/>
    <n v="59"/>
    <n v="950"/>
    <n v="56050"/>
  </r>
  <r>
    <x v="100"/>
    <x v="1"/>
    <x v="4"/>
    <x v="0"/>
    <n v="9"/>
    <n v="650"/>
    <n v="5850"/>
  </r>
  <r>
    <x v="101"/>
    <x v="1"/>
    <x v="3"/>
    <x v="3"/>
    <n v="105"/>
    <n v="820"/>
    <n v="86100"/>
  </r>
  <r>
    <x v="102"/>
    <x v="1"/>
    <x v="1"/>
    <x v="0"/>
    <n v="6"/>
    <n v="650"/>
    <n v="3900"/>
  </r>
  <r>
    <x v="103"/>
    <x v="1"/>
    <x v="3"/>
    <x v="4"/>
    <n v="47"/>
    <n v="450"/>
    <n v="21150"/>
  </r>
  <r>
    <x v="104"/>
    <x v="1"/>
    <x v="2"/>
    <x v="1"/>
    <n v="16"/>
    <n v="1200"/>
    <n v="19200"/>
  </r>
  <r>
    <x v="105"/>
    <x v="1"/>
    <x v="2"/>
    <x v="0"/>
    <n v="19"/>
    <n v="650"/>
    <n v="12350"/>
  </r>
  <r>
    <x v="106"/>
    <x v="1"/>
    <x v="2"/>
    <x v="1"/>
    <n v="16"/>
    <n v="1200"/>
    <n v="19200"/>
  </r>
  <r>
    <x v="107"/>
    <x v="1"/>
    <x v="4"/>
    <x v="2"/>
    <n v="59"/>
    <n v="800"/>
    <n v="47200"/>
  </r>
  <r>
    <x v="108"/>
    <x v="1"/>
    <x v="4"/>
    <x v="2"/>
    <n v="12"/>
    <n v="800"/>
    <n v="9600"/>
  </r>
  <r>
    <x v="109"/>
    <x v="1"/>
    <x v="0"/>
    <x v="3"/>
    <n v="50"/>
    <n v="950"/>
    <n v="47500"/>
  </r>
  <r>
    <x v="110"/>
    <x v="1"/>
    <x v="2"/>
    <x v="3"/>
    <n v="15"/>
    <n v="820"/>
    <n v="12300"/>
  </r>
  <r>
    <x v="111"/>
    <x v="1"/>
    <x v="2"/>
    <x v="1"/>
    <n v="11"/>
    <n v="1200"/>
    <n v="13200"/>
  </r>
  <r>
    <x v="112"/>
    <x v="1"/>
    <x v="0"/>
    <x v="2"/>
    <n v="24"/>
    <n v="800"/>
    <n v="19200"/>
  </r>
  <r>
    <x v="113"/>
    <x v="1"/>
    <x v="1"/>
    <x v="0"/>
    <n v="9"/>
    <n v="650"/>
    <n v="5850"/>
  </r>
  <r>
    <x v="114"/>
    <x v="1"/>
    <x v="1"/>
    <x v="2"/>
    <n v="7"/>
    <n v="800"/>
    <n v="5600"/>
  </r>
  <r>
    <x v="89"/>
    <x v="1"/>
    <x v="1"/>
    <x v="3"/>
    <n v="31"/>
    <n v="950"/>
    <n v="29450"/>
  </r>
  <r>
    <x v="115"/>
    <x v="1"/>
    <x v="2"/>
    <x v="4"/>
    <n v="29"/>
    <n v="450"/>
    <n v="13050"/>
  </r>
  <r>
    <x v="116"/>
    <x v="2"/>
    <x v="5"/>
    <x v="3"/>
    <n v="36"/>
    <n v="820"/>
    <n v="29520"/>
  </r>
  <r>
    <x v="117"/>
    <x v="2"/>
    <x v="3"/>
    <x v="0"/>
    <n v="16"/>
    <n v="650"/>
    <n v="10400"/>
  </r>
  <r>
    <x v="118"/>
    <x v="2"/>
    <x v="0"/>
    <x v="1"/>
    <n v="56"/>
    <n v="1200"/>
    <n v="67200"/>
  </r>
  <r>
    <x v="119"/>
    <x v="2"/>
    <x v="4"/>
    <x v="1"/>
    <n v="172"/>
    <n v="1200"/>
    <n v="206400"/>
  </r>
  <r>
    <x v="120"/>
    <x v="2"/>
    <x v="1"/>
    <x v="1"/>
    <n v="5"/>
    <n v="1200"/>
    <n v="6000"/>
  </r>
  <r>
    <x v="121"/>
    <x v="2"/>
    <x v="2"/>
    <x v="3"/>
    <n v="42"/>
    <n v="820"/>
    <n v="34440"/>
  </r>
  <r>
    <x v="122"/>
    <x v="2"/>
    <x v="4"/>
    <x v="3"/>
    <n v="52"/>
    <n v="820"/>
    <n v="42640"/>
  </r>
  <r>
    <x v="123"/>
    <x v="2"/>
    <x v="1"/>
    <x v="0"/>
    <n v="22"/>
    <n v="650"/>
    <n v="14300"/>
  </r>
  <r>
    <x v="124"/>
    <x v="2"/>
    <x v="1"/>
    <x v="0"/>
    <n v="21"/>
    <n v="650"/>
    <n v="13650"/>
  </r>
  <r>
    <x v="125"/>
    <x v="2"/>
    <x v="5"/>
    <x v="3"/>
    <n v="37"/>
    <n v="820"/>
    <n v="30340"/>
  </r>
  <r>
    <x v="126"/>
    <x v="2"/>
    <x v="3"/>
    <x v="2"/>
    <n v="34"/>
    <n v="800"/>
    <n v="27200"/>
  </r>
  <r>
    <x v="127"/>
    <x v="2"/>
    <x v="3"/>
    <x v="3"/>
    <n v="32"/>
    <n v="820"/>
    <n v="26240"/>
  </r>
  <r>
    <x v="128"/>
    <x v="2"/>
    <x v="5"/>
    <x v="0"/>
    <n v="88"/>
    <n v="650"/>
    <n v="57200"/>
  </r>
  <r>
    <x v="129"/>
    <x v="2"/>
    <x v="5"/>
    <x v="3"/>
    <n v="20"/>
    <n v="950"/>
    <n v="19000"/>
  </r>
  <r>
    <x v="130"/>
    <x v="2"/>
    <x v="4"/>
    <x v="4"/>
    <n v="29"/>
    <n v="450"/>
    <n v="13050"/>
  </r>
  <r>
    <x v="131"/>
    <x v="2"/>
    <x v="4"/>
    <x v="2"/>
    <n v="128"/>
    <n v="800"/>
    <n v="102400"/>
  </r>
  <r>
    <x v="132"/>
    <x v="2"/>
    <x v="0"/>
    <x v="3"/>
    <n v="86"/>
    <n v="950"/>
    <n v="81700"/>
  </r>
  <r>
    <x v="133"/>
    <x v="2"/>
    <x v="1"/>
    <x v="2"/>
    <n v="19"/>
    <n v="800"/>
    <n v="15200"/>
  </r>
  <r>
    <x v="134"/>
    <x v="2"/>
    <x v="0"/>
    <x v="2"/>
    <n v="77"/>
    <n v="800"/>
    <n v="61600"/>
  </r>
  <r>
    <x v="135"/>
    <x v="2"/>
    <x v="4"/>
    <x v="0"/>
    <n v="58"/>
    <n v="650"/>
    <n v="37700"/>
  </r>
  <r>
    <x v="136"/>
    <x v="2"/>
    <x v="2"/>
    <x v="4"/>
    <n v="11"/>
    <n v="450"/>
    <n v="4950"/>
  </r>
  <r>
    <x v="137"/>
    <x v="2"/>
    <x v="0"/>
    <x v="3"/>
    <n v="19"/>
    <n v="950"/>
    <n v="18050"/>
  </r>
  <r>
    <x v="138"/>
    <x v="2"/>
    <x v="3"/>
    <x v="3"/>
    <n v="46"/>
    <n v="950"/>
    <n v="43700"/>
  </r>
  <r>
    <x v="139"/>
    <x v="2"/>
    <x v="0"/>
    <x v="3"/>
    <n v="108"/>
    <n v="950"/>
    <n v="102600"/>
  </r>
  <r>
    <x v="140"/>
    <x v="2"/>
    <x v="2"/>
    <x v="3"/>
    <n v="14"/>
    <n v="820"/>
    <n v="11480"/>
  </r>
  <r>
    <x v="141"/>
    <x v="2"/>
    <x v="0"/>
    <x v="3"/>
    <n v="9"/>
    <n v="950"/>
    <n v="8550"/>
  </r>
  <r>
    <x v="142"/>
    <x v="2"/>
    <x v="2"/>
    <x v="4"/>
    <n v="1"/>
    <n v="450"/>
    <n v="450"/>
  </r>
  <r>
    <x v="143"/>
    <x v="2"/>
    <x v="3"/>
    <x v="0"/>
    <n v="132"/>
    <n v="650"/>
    <n v="85800"/>
  </r>
  <r>
    <x v="144"/>
    <x v="2"/>
    <x v="4"/>
    <x v="0"/>
    <n v="10"/>
    <n v="650"/>
    <n v="6500"/>
  </r>
  <r>
    <x v="145"/>
    <x v="2"/>
    <x v="3"/>
    <x v="3"/>
    <n v="16"/>
    <n v="820"/>
    <n v="13120"/>
  </r>
  <r>
    <x v="146"/>
    <x v="2"/>
    <x v="5"/>
    <x v="3"/>
    <n v="194"/>
    <n v="820"/>
    <n v="159080"/>
  </r>
  <r>
    <x v="147"/>
    <x v="2"/>
    <x v="0"/>
    <x v="2"/>
    <n v="104"/>
    <n v="800"/>
    <n v="83200"/>
  </r>
  <r>
    <x v="148"/>
    <x v="2"/>
    <x v="4"/>
    <x v="2"/>
    <n v="135"/>
    <n v="800"/>
    <n v="108000"/>
  </r>
  <r>
    <x v="149"/>
    <x v="2"/>
    <x v="2"/>
    <x v="1"/>
    <n v="32"/>
    <n v="1200"/>
    <n v="38400"/>
  </r>
  <r>
    <x v="150"/>
    <x v="2"/>
    <x v="2"/>
    <x v="2"/>
    <n v="2"/>
    <n v="800"/>
    <n v="1600"/>
  </r>
  <r>
    <x v="151"/>
    <x v="2"/>
    <x v="5"/>
    <x v="4"/>
    <n v="44"/>
    <n v="450"/>
    <n v="19800"/>
  </r>
  <r>
    <x v="152"/>
    <x v="2"/>
    <x v="4"/>
    <x v="2"/>
    <n v="82"/>
    <n v="800"/>
    <n v="65600"/>
  </r>
  <r>
    <x v="153"/>
    <x v="2"/>
    <x v="1"/>
    <x v="0"/>
    <n v="90"/>
    <n v="650"/>
    <n v="58500"/>
  </r>
  <r>
    <x v="154"/>
    <x v="2"/>
    <x v="0"/>
    <x v="3"/>
    <n v="115"/>
    <n v="820"/>
    <n v="94300"/>
  </r>
  <r>
    <x v="155"/>
    <x v="2"/>
    <x v="0"/>
    <x v="3"/>
    <n v="31"/>
    <n v="820"/>
    <n v="25420"/>
  </r>
  <r>
    <x v="156"/>
    <x v="2"/>
    <x v="1"/>
    <x v="2"/>
    <n v="18"/>
    <n v="800"/>
    <n v="14400"/>
  </r>
  <r>
    <x v="157"/>
    <x v="2"/>
    <x v="4"/>
    <x v="2"/>
    <n v="156"/>
    <n v="800"/>
    <n v="124800"/>
  </r>
  <r>
    <x v="158"/>
    <x v="2"/>
    <x v="5"/>
    <x v="2"/>
    <n v="70"/>
    <n v="800"/>
    <n v="56000"/>
  </r>
  <r>
    <x v="159"/>
    <x v="2"/>
    <x v="1"/>
    <x v="1"/>
    <n v="22"/>
    <n v="1200"/>
    <n v="26400"/>
  </r>
  <r>
    <x v="160"/>
    <x v="2"/>
    <x v="2"/>
    <x v="0"/>
    <n v="27"/>
    <n v="650"/>
    <n v="17550"/>
  </r>
  <r>
    <x v="161"/>
    <x v="2"/>
    <x v="5"/>
    <x v="2"/>
    <n v="42"/>
    <n v="800"/>
    <n v="33600"/>
  </r>
  <r>
    <x v="162"/>
    <x v="2"/>
    <x v="3"/>
    <x v="2"/>
    <n v="38"/>
    <n v="800"/>
    <n v="30400"/>
  </r>
  <r>
    <x v="163"/>
    <x v="2"/>
    <x v="4"/>
    <x v="3"/>
    <n v="34"/>
    <n v="820"/>
    <n v="27880"/>
  </r>
  <r>
    <x v="164"/>
    <x v="2"/>
    <x v="0"/>
    <x v="2"/>
    <n v="89"/>
    <n v="800"/>
    <n v="71200"/>
  </r>
  <r>
    <x v="165"/>
    <x v="2"/>
    <x v="1"/>
    <x v="1"/>
    <n v="66"/>
    <n v="1200"/>
    <n v="79200"/>
  </r>
  <r>
    <x v="166"/>
    <x v="2"/>
    <x v="4"/>
    <x v="3"/>
    <n v="30"/>
    <n v="820"/>
    <n v="24600"/>
  </r>
  <r>
    <x v="167"/>
    <x v="2"/>
    <x v="4"/>
    <x v="1"/>
    <n v="128"/>
    <n v="1200"/>
    <n v="153600"/>
  </r>
  <r>
    <x v="168"/>
    <x v="2"/>
    <x v="2"/>
    <x v="2"/>
    <n v="13"/>
    <n v="800"/>
    <n v="10400"/>
  </r>
  <r>
    <x v="144"/>
    <x v="2"/>
    <x v="1"/>
    <x v="2"/>
    <n v="64"/>
    <n v="800"/>
    <n v="51200"/>
  </r>
  <r>
    <x v="169"/>
    <x v="3"/>
    <x v="5"/>
    <x v="3"/>
    <n v="49"/>
    <n v="820"/>
    <n v="40180"/>
  </r>
  <r>
    <x v="170"/>
    <x v="3"/>
    <x v="3"/>
    <x v="0"/>
    <n v="76"/>
    <n v="650"/>
    <n v="49400"/>
  </r>
  <r>
    <x v="171"/>
    <x v="3"/>
    <x v="3"/>
    <x v="3"/>
    <n v="36"/>
    <n v="820"/>
    <n v="29520"/>
  </r>
  <r>
    <x v="172"/>
    <x v="3"/>
    <x v="3"/>
    <x v="2"/>
    <n v="126"/>
    <n v="800"/>
    <n v="100800"/>
  </r>
  <r>
    <x v="132"/>
    <x v="3"/>
    <x v="0"/>
    <x v="0"/>
    <n v="29"/>
    <n v="650"/>
    <n v="18850"/>
  </r>
  <r>
    <x v="46"/>
    <x v="3"/>
    <x v="2"/>
    <x v="1"/>
    <n v="6"/>
    <n v="1200"/>
    <n v="7200"/>
  </r>
  <r>
    <x v="173"/>
    <x v="3"/>
    <x v="2"/>
    <x v="3"/>
    <n v="38"/>
    <n v="950"/>
    <n v="36100"/>
  </r>
  <r>
    <x v="174"/>
    <x v="3"/>
    <x v="5"/>
    <x v="0"/>
    <n v="6"/>
    <n v="650"/>
    <n v="3900"/>
  </r>
  <r>
    <x v="175"/>
    <x v="3"/>
    <x v="5"/>
    <x v="3"/>
    <n v="119"/>
    <n v="950"/>
    <n v="113050"/>
  </r>
  <r>
    <x v="176"/>
    <x v="3"/>
    <x v="0"/>
    <x v="3"/>
    <n v="30"/>
    <n v="820"/>
    <n v="24600"/>
  </r>
  <r>
    <x v="177"/>
    <x v="3"/>
    <x v="5"/>
    <x v="1"/>
    <n v="8"/>
    <n v="1200"/>
    <n v="9600"/>
  </r>
  <r>
    <x v="178"/>
    <x v="3"/>
    <x v="2"/>
    <x v="2"/>
    <n v="6"/>
    <n v="800"/>
    <n v="4800"/>
  </r>
  <r>
    <x v="179"/>
    <x v="3"/>
    <x v="1"/>
    <x v="2"/>
    <n v="21"/>
    <n v="800"/>
    <n v="16800"/>
  </r>
  <r>
    <x v="180"/>
    <x v="3"/>
    <x v="0"/>
    <x v="2"/>
    <n v="85"/>
    <n v="800"/>
    <n v="68000"/>
  </r>
  <r>
    <x v="181"/>
    <x v="3"/>
    <x v="2"/>
    <x v="2"/>
    <n v="20"/>
    <n v="800"/>
    <n v="16000"/>
  </r>
  <r>
    <x v="182"/>
    <x v="3"/>
    <x v="1"/>
    <x v="2"/>
    <n v="7"/>
    <n v="800"/>
    <n v="5600"/>
  </r>
  <r>
    <x v="183"/>
    <x v="3"/>
    <x v="3"/>
    <x v="2"/>
    <n v="78"/>
    <n v="800"/>
    <n v="62400"/>
  </r>
  <r>
    <x v="184"/>
    <x v="3"/>
    <x v="1"/>
    <x v="1"/>
    <n v="17"/>
    <n v="1200"/>
    <n v="20400"/>
  </r>
  <r>
    <x v="185"/>
    <x v="3"/>
    <x v="5"/>
    <x v="3"/>
    <n v="13"/>
    <n v="820"/>
    <n v="10660"/>
  </r>
  <r>
    <x v="186"/>
    <x v="3"/>
    <x v="2"/>
    <x v="2"/>
    <n v="9"/>
    <n v="800"/>
    <n v="7200"/>
  </r>
  <r>
    <x v="187"/>
    <x v="3"/>
    <x v="3"/>
    <x v="3"/>
    <n v="33"/>
    <n v="820"/>
    <n v="27060"/>
  </r>
  <r>
    <x v="150"/>
    <x v="3"/>
    <x v="1"/>
    <x v="3"/>
    <n v="15"/>
    <n v="820"/>
    <n v="12300"/>
  </r>
  <r>
    <x v="188"/>
    <x v="3"/>
    <x v="0"/>
    <x v="0"/>
    <n v="36"/>
    <n v="650"/>
    <n v="23400"/>
  </r>
  <r>
    <x v="189"/>
    <x v="3"/>
    <x v="0"/>
    <x v="0"/>
    <n v="22"/>
    <n v="650"/>
    <n v="14300"/>
  </r>
  <r>
    <x v="190"/>
    <x v="3"/>
    <x v="0"/>
    <x v="1"/>
    <n v="12"/>
    <n v="1200"/>
    <n v="14400"/>
  </r>
  <r>
    <x v="191"/>
    <x v="3"/>
    <x v="2"/>
    <x v="4"/>
    <n v="29"/>
    <n v="450"/>
    <n v="13050"/>
  </r>
  <r>
    <x v="192"/>
    <x v="3"/>
    <x v="3"/>
    <x v="1"/>
    <n v="23"/>
    <n v="1200"/>
    <n v="27600"/>
  </r>
  <r>
    <x v="193"/>
    <x v="3"/>
    <x v="1"/>
    <x v="1"/>
    <n v="17"/>
    <n v="1200"/>
    <n v="20400"/>
  </r>
  <r>
    <x v="194"/>
    <x v="3"/>
    <x v="4"/>
    <x v="2"/>
    <n v="45"/>
    <n v="800"/>
    <n v="36000"/>
  </r>
  <r>
    <x v="195"/>
    <x v="3"/>
    <x v="4"/>
    <x v="0"/>
    <n v="274"/>
    <n v="650"/>
    <n v="178100"/>
  </r>
  <r>
    <x v="196"/>
    <x v="3"/>
    <x v="1"/>
    <x v="3"/>
    <n v="60"/>
    <n v="820"/>
    <n v="49200"/>
  </r>
  <r>
    <x v="197"/>
    <x v="3"/>
    <x v="4"/>
    <x v="0"/>
    <n v="39"/>
    <n v="650"/>
    <n v="25350"/>
  </r>
  <r>
    <x v="149"/>
    <x v="3"/>
    <x v="4"/>
    <x v="3"/>
    <n v="58"/>
    <n v="820"/>
    <n v="47560"/>
  </r>
  <r>
    <x v="198"/>
    <x v="3"/>
    <x v="3"/>
    <x v="2"/>
    <n v="60"/>
    <n v="800"/>
    <n v="48000"/>
  </r>
  <r>
    <x v="199"/>
    <x v="3"/>
    <x v="0"/>
    <x v="1"/>
    <n v="92"/>
    <n v="1200"/>
    <n v="110400"/>
  </r>
  <r>
    <x v="200"/>
    <x v="3"/>
    <x v="3"/>
    <x v="1"/>
    <n v="153"/>
    <n v="1200"/>
    <n v="183600"/>
  </r>
  <r>
    <x v="201"/>
    <x v="3"/>
    <x v="0"/>
    <x v="1"/>
    <n v="86"/>
    <n v="1200"/>
    <n v="103200"/>
  </r>
  <r>
    <x v="202"/>
    <x v="3"/>
    <x v="5"/>
    <x v="3"/>
    <n v="181"/>
    <n v="820"/>
    <n v="148420"/>
  </r>
  <r>
    <x v="203"/>
    <x v="3"/>
    <x v="4"/>
    <x v="1"/>
    <n v="18"/>
    <n v="1200"/>
    <n v="21600"/>
  </r>
  <r>
    <x v="204"/>
    <x v="3"/>
    <x v="4"/>
    <x v="0"/>
    <n v="57"/>
    <n v="650"/>
    <n v="37050"/>
  </r>
  <r>
    <x v="205"/>
    <x v="3"/>
    <x v="1"/>
    <x v="3"/>
    <n v="31"/>
    <n v="820"/>
    <n v="25420"/>
  </r>
  <r>
    <x v="186"/>
    <x v="3"/>
    <x v="2"/>
    <x v="1"/>
    <n v="18"/>
    <n v="1200"/>
    <n v="21600"/>
  </r>
  <r>
    <x v="206"/>
    <x v="3"/>
    <x v="5"/>
    <x v="4"/>
    <n v="4"/>
    <n v="450"/>
    <n v="1800"/>
  </r>
  <r>
    <x v="207"/>
    <x v="3"/>
    <x v="1"/>
    <x v="2"/>
    <n v="6"/>
    <n v="800"/>
    <n v="4800"/>
  </r>
  <r>
    <x v="208"/>
    <x v="3"/>
    <x v="1"/>
    <x v="1"/>
    <n v="28"/>
    <n v="1200"/>
    <n v="33600"/>
  </r>
  <r>
    <x v="209"/>
    <x v="3"/>
    <x v="3"/>
    <x v="2"/>
    <n v="1"/>
    <n v="800"/>
    <n v="800"/>
  </r>
  <r>
    <x v="210"/>
    <x v="3"/>
    <x v="0"/>
    <x v="4"/>
    <n v="37"/>
    <n v="450"/>
    <n v="16650"/>
  </r>
  <r>
    <x v="211"/>
    <x v="3"/>
    <x v="3"/>
    <x v="4"/>
    <n v="25"/>
    <n v="450"/>
    <n v="11250"/>
  </r>
  <r>
    <x v="6"/>
    <x v="3"/>
    <x v="2"/>
    <x v="4"/>
    <n v="8"/>
    <n v="450"/>
    <n v="3600"/>
  </r>
  <r>
    <x v="212"/>
    <x v="3"/>
    <x v="0"/>
    <x v="2"/>
    <n v="55"/>
    <n v="800"/>
    <n v="44000"/>
  </r>
  <r>
    <x v="213"/>
    <x v="3"/>
    <x v="0"/>
    <x v="1"/>
    <n v="55"/>
    <n v="1200"/>
    <n v="66000"/>
  </r>
  <r>
    <x v="214"/>
    <x v="3"/>
    <x v="1"/>
    <x v="0"/>
    <n v="3"/>
    <n v="650"/>
    <n v="1950"/>
  </r>
  <r>
    <x v="215"/>
    <x v="3"/>
    <x v="0"/>
    <x v="3"/>
    <n v="22"/>
    <n v="820"/>
    <n v="18040"/>
  </r>
  <r>
    <x v="216"/>
    <x v="3"/>
    <x v="5"/>
    <x v="2"/>
    <n v="49"/>
    <n v="800"/>
    <n v="39200"/>
  </r>
  <r>
    <x v="217"/>
    <x v="3"/>
    <x v="1"/>
    <x v="3"/>
    <n v="71"/>
    <n v="820"/>
    <n v="58220"/>
  </r>
  <r>
    <x v="218"/>
    <x v="3"/>
    <x v="5"/>
    <x v="2"/>
    <n v="49"/>
    <n v="800"/>
    <n v="39200"/>
  </r>
  <r>
    <x v="219"/>
    <x v="3"/>
    <x v="2"/>
    <x v="3"/>
    <n v="3"/>
    <n v="820"/>
    <n v="2460"/>
  </r>
  <r>
    <x v="220"/>
    <x v="3"/>
    <x v="4"/>
    <x v="2"/>
    <n v="16"/>
    <n v="800"/>
    <n v="12800"/>
  </r>
  <r>
    <x v="169"/>
    <x v="3"/>
    <x v="3"/>
    <x v="4"/>
    <n v="67"/>
    <n v="450"/>
    <n v="30150"/>
  </r>
  <r>
    <x v="221"/>
    <x v="3"/>
    <x v="0"/>
    <x v="1"/>
    <n v="19"/>
    <n v="1200"/>
    <n v="22800"/>
  </r>
  <r>
    <x v="222"/>
    <x v="3"/>
    <x v="2"/>
    <x v="2"/>
    <n v="1"/>
    <n v="800"/>
    <n v="800"/>
  </r>
  <r>
    <x v="223"/>
    <x v="3"/>
    <x v="5"/>
    <x v="3"/>
    <n v="3"/>
    <n v="950"/>
    <n v="2850"/>
  </r>
  <r>
    <x v="224"/>
    <x v="3"/>
    <x v="1"/>
    <x v="3"/>
    <n v="33"/>
    <n v="820"/>
    <n v="27060"/>
  </r>
  <r>
    <x v="225"/>
    <x v="3"/>
    <x v="4"/>
    <x v="1"/>
    <n v="280"/>
    <n v="1200"/>
    <n v="336000"/>
  </r>
  <r>
    <x v="226"/>
    <x v="3"/>
    <x v="0"/>
    <x v="2"/>
    <n v="24"/>
    <n v="800"/>
    <n v="19200"/>
  </r>
  <r>
    <x v="212"/>
    <x v="3"/>
    <x v="2"/>
    <x v="1"/>
    <n v="6"/>
    <n v="1200"/>
    <n v="7200"/>
  </r>
  <r>
    <x v="227"/>
    <x v="3"/>
    <x v="2"/>
    <x v="0"/>
    <n v="7"/>
    <n v="650"/>
    <n v="4550"/>
  </r>
  <r>
    <x v="228"/>
    <x v="3"/>
    <x v="1"/>
    <x v="3"/>
    <n v="38"/>
    <n v="950"/>
    <n v="36100"/>
  </r>
  <r>
    <x v="229"/>
    <x v="3"/>
    <x v="3"/>
    <x v="2"/>
    <n v="23"/>
    <n v="800"/>
    <n v="18400"/>
  </r>
  <r>
    <x v="230"/>
    <x v="3"/>
    <x v="4"/>
    <x v="4"/>
    <n v="26"/>
    <n v="450"/>
    <n v="11700"/>
  </r>
  <r>
    <x v="231"/>
    <x v="3"/>
    <x v="1"/>
    <x v="3"/>
    <n v="11"/>
    <n v="820"/>
    <n v="9020"/>
  </r>
  <r>
    <x v="232"/>
    <x v="3"/>
    <x v="5"/>
    <x v="1"/>
    <n v="23"/>
    <n v="1200"/>
    <n v="27600"/>
  </r>
  <r>
    <x v="233"/>
    <x v="3"/>
    <x v="3"/>
    <x v="3"/>
    <n v="59"/>
    <n v="820"/>
    <n v="48380"/>
  </r>
  <r>
    <x v="234"/>
    <x v="4"/>
    <x v="4"/>
    <x v="3"/>
    <n v="138"/>
    <n v="950"/>
    <n v="131100"/>
  </r>
  <r>
    <x v="235"/>
    <x v="4"/>
    <x v="0"/>
    <x v="3"/>
    <n v="69"/>
    <n v="950"/>
    <n v="65550"/>
  </r>
  <r>
    <x v="236"/>
    <x v="4"/>
    <x v="4"/>
    <x v="2"/>
    <n v="214"/>
    <n v="800"/>
    <n v="171200"/>
  </r>
  <r>
    <x v="237"/>
    <x v="4"/>
    <x v="5"/>
    <x v="3"/>
    <n v="223"/>
    <n v="820"/>
    <n v="182860"/>
  </r>
  <r>
    <x v="238"/>
    <x v="0"/>
    <x v="0"/>
    <x v="0"/>
    <n v="54.890596344779603"/>
    <n v="832.14538670714001"/>
    <n v="45676.95652191215"/>
  </r>
  <r>
    <x v="239"/>
    <x v="0"/>
    <x v="1"/>
    <x v="1"/>
    <n v="54.931735383580197"/>
    <n v="831.99891068763395"/>
    <n v="45703.144001320084"/>
  </r>
  <r>
    <x v="240"/>
    <x v="0"/>
    <x v="2"/>
    <x v="1"/>
    <n v="54.972874422380698"/>
    <n v="831.85243466812801"/>
    <n v="45729.319428962648"/>
  </r>
  <r>
    <x v="241"/>
    <x v="0"/>
    <x v="3"/>
    <x v="2"/>
    <n v="55.0140134611813"/>
    <n v="831.70595864862298"/>
    <n v="45755.482804840045"/>
  </r>
  <r>
    <x v="242"/>
    <x v="0"/>
    <x v="0"/>
    <x v="2"/>
    <n v="55.055152499981901"/>
    <n v="831.55948262911704"/>
    <n v="45781.634128952086"/>
  </r>
  <r>
    <x v="243"/>
    <x v="0"/>
    <x v="2"/>
    <x v="2"/>
    <n v="55.096291538782403"/>
    <n v="831.41300660961201"/>
    <n v="45807.773401298808"/>
  </r>
  <r>
    <x v="244"/>
    <x v="0"/>
    <x v="2"/>
    <x v="3"/>
    <n v="55.137430577582997"/>
    <n v="831.26653059010596"/>
    <n v="45833.900621880239"/>
  </r>
  <r>
    <x v="245"/>
    <x v="0"/>
    <x v="2"/>
    <x v="4"/>
    <n v="55.178569616383598"/>
    <n v="831.12005457060002"/>
    <n v="45860.015790696387"/>
  </r>
  <r>
    <x v="246"/>
    <x v="0"/>
    <x v="4"/>
    <x v="0"/>
    <n v="55.2197086551841"/>
    <n v="830.97357855109499"/>
    <n v="45886.118907747201"/>
  </r>
  <r>
    <x v="247"/>
    <x v="0"/>
    <x v="4"/>
    <x v="2"/>
    <n v="55.260847693984701"/>
    <n v="830.82710253158905"/>
    <n v="45912.209973032754"/>
  </r>
  <r>
    <x v="246"/>
    <x v="0"/>
    <x v="5"/>
    <x v="2"/>
    <n v="55.301986732785302"/>
    <n v="830.68062651208299"/>
    <n v="45938.288986552994"/>
  </r>
  <r>
    <x v="248"/>
    <x v="0"/>
    <x v="4"/>
    <x v="1"/>
    <n v="55.343125771585797"/>
    <n v="830.53415049257796"/>
    <n v="45964.355948307908"/>
  </r>
  <r>
    <x v="249"/>
    <x v="0"/>
    <x v="0"/>
    <x v="3"/>
    <n v="55.384264810386398"/>
    <n v="830.38767447307202"/>
    <n v="45990.41085829756"/>
  </r>
  <r>
    <x v="250"/>
    <x v="0"/>
    <x v="2"/>
    <x v="3"/>
    <n v="55.425403849186999"/>
    <n v="830.24119845356597"/>
    <n v="46016.453716521901"/>
  </r>
  <r>
    <x v="251"/>
    <x v="0"/>
    <x v="4"/>
    <x v="3"/>
    <n v="55.466542887987501"/>
    <n v="830.09472243406105"/>
    <n v="46042.484522980929"/>
  </r>
  <r>
    <x v="252"/>
    <x v="0"/>
    <x v="2"/>
    <x v="3"/>
    <n v="55.507681926788102"/>
    <n v="829.948246414555"/>
    <n v="46068.503277674674"/>
  </r>
  <r>
    <x v="253"/>
    <x v="0"/>
    <x v="5"/>
    <x v="3"/>
    <n v="55.548820965588703"/>
    <n v="829.80177039504997"/>
    <n v="46094.509980603172"/>
  </r>
  <r>
    <x v="0"/>
    <x v="0"/>
    <x v="2"/>
    <x v="3"/>
    <n v="55.589960004389198"/>
    <n v="829.65529437554403"/>
    <n v="46120.504631766242"/>
  </r>
  <r>
    <x v="254"/>
    <x v="0"/>
    <x v="0"/>
    <x v="1"/>
    <n v="55.631099043189799"/>
    <n v="829.50881835603798"/>
    <n v="46146.487231164087"/>
  </r>
  <r>
    <x v="255"/>
    <x v="0"/>
    <x v="5"/>
    <x v="3"/>
    <n v="55.6722380819904"/>
    <n v="829.36234233653295"/>
    <n v="46172.457778796692"/>
  </r>
  <r>
    <x v="256"/>
    <x v="0"/>
    <x v="0"/>
    <x v="3"/>
    <n v="55.713377120790902"/>
    <n v="829.21586631702701"/>
    <n v="46198.416274663861"/>
  </r>
  <r>
    <x v="257"/>
    <x v="0"/>
    <x v="3"/>
    <x v="3"/>
    <n v="55.754516159591503"/>
    <n v="829.06939029752095"/>
    <n v="46224.362718765806"/>
  </r>
  <r>
    <x v="105"/>
    <x v="0"/>
    <x v="0"/>
    <x v="3"/>
    <n v="55.795655198392097"/>
    <n v="828.92291427801604"/>
    <n v="46250.297111102511"/>
  </r>
  <r>
    <x v="11"/>
    <x v="0"/>
    <x v="5"/>
    <x v="2"/>
    <n v="55.836794237192599"/>
    <n v="828.77643825850998"/>
    <n v="46276.21945167378"/>
  </r>
  <r>
    <x v="258"/>
    <x v="0"/>
    <x v="4"/>
    <x v="1"/>
    <n v="55.8779332759932"/>
    <n v="828.62996223900404"/>
    <n v="46302.129740479832"/>
  </r>
  <r>
    <x v="208"/>
    <x v="0"/>
    <x v="1"/>
    <x v="2"/>
    <n v="55.919072314793802"/>
    <n v="828.48348621949901"/>
    <n v="46328.027977520636"/>
  </r>
  <r>
    <x v="259"/>
    <x v="0"/>
    <x v="1"/>
    <x v="2"/>
    <n v="55.960211353594303"/>
    <n v="828.33701019999296"/>
    <n v="46353.914162796005"/>
  </r>
  <r>
    <x v="260"/>
    <x v="0"/>
    <x v="3"/>
    <x v="3"/>
    <n v="56.001350392394897"/>
    <n v="828.19053418048702"/>
    <n v="46379.788296306157"/>
  </r>
  <r>
    <x v="261"/>
    <x v="0"/>
    <x v="5"/>
    <x v="3"/>
    <n v="56.042489431195499"/>
    <n v="828.04405816098199"/>
    <n v="46405.650378051061"/>
  </r>
  <r>
    <x v="262"/>
    <x v="0"/>
    <x v="5"/>
    <x v="0"/>
    <n v="56.083628469996"/>
    <n v="827.89758214147605"/>
    <n v="46431.500408030537"/>
  </r>
  <r>
    <x v="263"/>
    <x v="0"/>
    <x v="5"/>
    <x v="2"/>
    <n v="56.124767508796602"/>
    <n v="827.75110612197"/>
    <n v="46457.338386244788"/>
  </r>
  <r>
    <x v="142"/>
    <x v="0"/>
    <x v="0"/>
    <x v="0"/>
    <n v="56.165906547597203"/>
    <n v="827.60463010246497"/>
    <n v="46483.1643126938"/>
  </r>
  <r>
    <x v="264"/>
    <x v="0"/>
    <x v="4"/>
    <x v="1"/>
    <n v="56.207045586397697"/>
    <n v="827.45815408295903"/>
    <n v="46508.978187377368"/>
  </r>
  <r>
    <x v="265"/>
    <x v="0"/>
    <x v="5"/>
    <x v="2"/>
    <n v="56.248184625198299"/>
    <n v="827.311678063454"/>
    <n v="46534.780010295777"/>
  </r>
  <r>
    <x v="266"/>
    <x v="0"/>
    <x v="2"/>
    <x v="2"/>
    <n v="56.2893236639989"/>
    <n v="827.16520204394806"/>
    <n v="46560.569781448838"/>
  </r>
  <r>
    <x v="43"/>
    <x v="0"/>
    <x v="4"/>
    <x v="2"/>
    <n v="56.330462702799402"/>
    <n v="827.018726024442"/>
    <n v="46586.347500836506"/>
  </r>
  <r>
    <x v="267"/>
    <x v="0"/>
    <x v="5"/>
    <x v="2"/>
    <n v="56.371601741600003"/>
    <n v="826.87225000493697"/>
    <n v="46612.113168459015"/>
  </r>
  <r>
    <x v="268"/>
    <x v="0"/>
    <x v="1"/>
    <x v="3"/>
    <n v="56.412740780400597"/>
    <n v="826.72577398543103"/>
    <n v="46637.866784316175"/>
  </r>
  <r>
    <x v="269"/>
    <x v="0"/>
    <x v="1"/>
    <x v="1"/>
    <n v="56.453879819201802"/>
    <n v="826.57929796592498"/>
    <n v="46663.608348408525"/>
  </r>
  <r>
    <x v="138"/>
    <x v="0"/>
    <x v="3"/>
    <x v="3"/>
    <n v="56.4950188580017"/>
    <n v="826.43282194641995"/>
    <n v="46689.337860734558"/>
  </r>
  <r>
    <x v="212"/>
    <x v="0"/>
    <x v="2"/>
    <x v="2"/>
    <n v="56.536157896802301"/>
    <n v="826.28634592691401"/>
    <n v="46715.055321295818"/>
  </r>
  <r>
    <x v="270"/>
    <x v="0"/>
    <x v="3"/>
    <x v="2"/>
    <n v="56.577296935602803"/>
    <n v="826.13986990740898"/>
    <n v="46740.760730091752"/>
  </r>
  <r>
    <x v="271"/>
    <x v="0"/>
    <x v="1"/>
    <x v="1"/>
    <n v="56.618435974403397"/>
    <n v="825.99339388790304"/>
    <n v="46766.454087122402"/>
  </r>
  <r>
    <x v="272"/>
    <x v="0"/>
    <x v="4"/>
    <x v="2"/>
    <n v="56.659575013203998"/>
    <n v="825.84691786839699"/>
    <n v="46792.135392387761"/>
  </r>
  <r>
    <x v="273"/>
    <x v="0"/>
    <x v="3"/>
    <x v="2"/>
    <n v="56.7007140520045"/>
    <n v="825.70044184889196"/>
    <n v="46817.804645887794"/>
  </r>
  <r>
    <x v="165"/>
    <x v="0"/>
    <x v="3"/>
    <x v="2"/>
    <n v="56.741853090805101"/>
    <n v="825.55396582938602"/>
    <n v="46843.461847622559"/>
  </r>
  <r>
    <x v="18"/>
    <x v="0"/>
    <x v="3"/>
    <x v="2"/>
    <n v="56.782992129605702"/>
    <n v="825.40748980987996"/>
    <n v="46869.106997592011"/>
  </r>
  <r>
    <x v="274"/>
    <x v="0"/>
    <x v="5"/>
    <x v="0"/>
    <n v="56.824131168406197"/>
    <n v="825.26101379037505"/>
    <n v="46894.740095796144"/>
  </r>
  <r>
    <x v="275"/>
    <x v="0"/>
    <x v="4"/>
    <x v="1"/>
    <n v="56.865270207206798"/>
    <n v="825.11453777086899"/>
    <n v="46920.361142235008"/>
  </r>
  <r>
    <x v="276"/>
    <x v="0"/>
    <x v="5"/>
    <x v="3"/>
    <n v="56.906409246007399"/>
    <n v="824.96806175136305"/>
    <n v="46945.970136908567"/>
  </r>
  <r>
    <x v="277"/>
    <x v="0"/>
    <x v="1"/>
    <x v="1"/>
    <n v="56.947548284807901"/>
    <n v="824.82158573185802"/>
    <n v="46971.567079816807"/>
  </r>
  <r>
    <x v="278"/>
    <x v="0"/>
    <x v="1"/>
    <x v="1"/>
    <n v="56.988687323608502"/>
    <n v="824.67510971235197"/>
    <n v="46997.151970959763"/>
  </r>
  <r>
    <x v="279"/>
    <x v="0"/>
    <x v="0"/>
    <x v="1"/>
    <n v="57.029826362409104"/>
    <n v="824.52863369284603"/>
    <n v="47022.72481033743"/>
  </r>
  <r>
    <x v="280"/>
    <x v="0"/>
    <x v="2"/>
    <x v="3"/>
    <n v="57.070965401209598"/>
    <n v="824.382157673341"/>
    <n v="47048.285597949762"/>
  </r>
  <r>
    <x v="117"/>
    <x v="0"/>
    <x v="4"/>
    <x v="0"/>
    <n v="57.112104440010199"/>
    <n v="824.23568165383494"/>
    <n v="47073.834333796818"/>
  </r>
  <r>
    <x v="281"/>
    <x v="0"/>
    <x v="2"/>
    <x v="2"/>
    <n v="57.153243478810801"/>
    <n v="824.08920563432901"/>
    <n v="47099.371017878584"/>
  </r>
  <r>
    <x v="282"/>
    <x v="0"/>
    <x v="0"/>
    <x v="3"/>
    <n v="57.194382517611302"/>
    <n v="823.94272961482397"/>
    <n v="47124.895650195023"/>
  </r>
  <r>
    <x v="25"/>
    <x v="0"/>
    <x v="0"/>
    <x v="1"/>
    <n v="57.235521556411904"/>
    <n v="823.79625359531803"/>
    <n v="47150.408230746194"/>
  </r>
  <r>
    <x v="261"/>
    <x v="0"/>
    <x v="4"/>
    <x v="2"/>
    <n v="57.276660595212498"/>
    <n v="823.649777575813"/>
    <n v="47175.908759532103"/>
  </r>
  <r>
    <x v="283"/>
    <x v="0"/>
    <x v="1"/>
    <x v="2"/>
    <n v="57.317799634012999"/>
    <n v="823.50330155630695"/>
    <n v="47201.397236552584"/>
  </r>
  <r>
    <x v="284"/>
    <x v="0"/>
    <x v="4"/>
    <x v="3"/>
    <n v="57.358938672813601"/>
    <n v="823.35682553680101"/>
    <n v="47226.873661807855"/>
  </r>
  <r>
    <x v="285"/>
    <x v="0"/>
    <x v="1"/>
    <x v="3"/>
    <n v="57.400077711614202"/>
    <n v="823.21034951729598"/>
    <n v="47252.338035297878"/>
  </r>
  <r>
    <x v="168"/>
    <x v="0"/>
    <x v="5"/>
    <x v="1"/>
    <n v="57.441216750414704"/>
    <n v="823.06387349779004"/>
    <n v="47277.790357022466"/>
  </r>
  <r>
    <x v="286"/>
    <x v="0"/>
    <x v="3"/>
    <x v="3"/>
    <n v="57.482355789215298"/>
    <n v="822.91739747828399"/>
    <n v="47303.230626981822"/>
  </r>
  <r>
    <x v="287"/>
    <x v="1"/>
    <x v="3"/>
    <x v="1"/>
    <n v="57.523494828015899"/>
    <n v="822.77092145877896"/>
    <n v="47328.658845175945"/>
  </r>
  <r>
    <x v="288"/>
    <x v="1"/>
    <x v="2"/>
    <x v="1"/>
    <n v="57.564633866816401"/>
    <n v="822.62444543927302"/>
    <n v="47354.075011604633"/>
  </r>
  <r>
    <x v="289"/>
    <x v="1"/>
    <x v="3"/>
    <x v="2"/>
    <n v="57.605772905617002"/>
    <n v="822.47796941976799"/>
    <n v="47379.479126268161"/>
  </r>
  <r>
    <x v="201"/>
    <x v="1"/>
    <x v="0"/>
    <x v="3"/>
    <n v="57.646911944417603"/>
    <n v="822.33149340026205"/>
    <n v="47404.871189166333"/>
  </r>
  <r>
    <x v="290"/>
    <x v="1"/>
    <x v="4"/>
    <x v="3"/>
    <n v="57.688050983218098"/>
    <n v="822.18501738075599"/>
    <n v="47430.251200299106"/>
  </r>
  <r>
    <x v="291"/>
    <x v="1"/>
    <x v="0"/>
    <x v="4"/>
    <n v="57.729190022018699"/>
    <n v="822.03854136125096"/>
    <n v="47455.619159666734"/>
  </r>
  <r>
    <x v="292"/>
    <x v="1"/>
    <x v="0"/>
    <x v="0"/>
    <n v="57.7703290608193"/>
    <n v="821.89206534174502"/>
    <n v="47480.975067269006"/>
  </r>
  <r>
    <x v="9"/>
    <x v="1"/>
    <x v="4"/>
    <x v="4"/>
    <n v="57.811468099619802"/>
    <n v="821.74558932223897"/>
    <n v="47506.318923105893"/>
  </r>
  <r>
    <x v="293"/>
    <x v="1"/>
    <x v="4"/>
    <x v="3"/>
    <n v="57.852607138420403"/>
    <n v="821.59911330273405"/>
    <n v="47531.650727177628"/>
  </r>
  <r>
    <x v="86"/>
    <x v="1"/>
    <x v="1"/>
    <x v="3"/>
    <n v="57.893746177220997"/>
    <n v="821.452637283228"/>
    <n v="47556.970479483985"/>
  </r>
  <r>
    <x v="258"/>
    <x v="1"/>
    <x v="3"/>
    <x v="0"/>
    <n v="57.934885216021499"/>
    <n v="821.30616126372195"/>
    <n v="47582.278180024972"/>
  </r>
  <r>
    <x v="294"/>
    <x v="1"/>
    <x v="3"/>
    <x v="1"/>
    <n v="57.9760242548221"/>
    <n v="821.15968524421703"/>
    <n v="47607.573828800807"/>
  </r>
  <r>
    <x v="295"/>
    <x v="1"/>
    <x v="2"/>
    <x v="3"/>
    <n v="58.017163293622701"/>
    <n v="821.01320922471098"/>
    <n v="47632.857425811279"/>
  </r>
  <r>
    <x v="296"/>
    <x v="1"/>
    <x v="1"/>
    <x v="1"/>
    <n v="58.058302332423203"/>
    <n v="820.86673320520504"/>
    <n v="47658.128971056372"/>
  </r>
  <r>
    <x v="297"/>
    <x v="1"/>
    <x v="5"/>
    <x v="3"/>
    <n v="58.099441371223797"/>
    <n v="820.72025718570001"/>
    <n v="47683.388464536292"/>
  </r>
  <r>
    <x v="298"/>
    <x v="1"/>
    <x v="0"/>
    <x v="2"/>
    <n v="58.140580410024398"/>
    <n v="820.57378116619395"/>
    <n v="47708.635906250864"/>
  </r>
  <r>
    <x v="191"/>
    <x v="1"/>
    <x v="0"/>
    <x v="3"/>
    <n v="58.1817194488249"/>
    <n v="820.42730514668801"/>
    <n v="47733.871296200057"/>
  </r>
  <r>
    <x v="299"/>
    <x v="1"/>
    <x v="4"/>
    <x v="4"/>
    <n v="58.222858487625501"/>
    <n v="820.28082912718298"/>
    <n v="47759.094634384091"/>
  </r>
  <r>
    <x v="300"/>
    <x v="1"/>
    <x v="0"/>
    <x v="3"/>
    <n v="58.263997526426103"/>
    <n v="820.13435310767704"/>
    <n v="47784.30592080277"/>
  </r>
  <r>
    <x v="301"/>
    <x v="1"/>
    <x v="5"/>
    <x v="2"/>
    <n v="58.305136565226597"/>
    <n v="819.98787708817201"/>
    <n v="47809.505155456114"/>
  </r>
  <r>
    <x v="302"/>
    <x v="1"/>
    <x v="4"/>
    <x v="1"/>
    <n v="58.346275604027198"/>
    <n v="819.84140106866596"/>
    <n v="47834.692338344183"/>
  </r>
  <r>
    <x v="303"/>
    <x v="1"/>
    <x v="4"/>
    <x v="2"/>
    <n v="58.3874146428278"/>
    <n v="819.69492504916002"/>
    <n v="47859.867469466961"/>
  </r>
  <r>
    <x v="304"/>
    <x v="1"/>
    <x v="0"/>
    <x v="2"/>
    <n v="58.428553681628301"/>
    <n v="819.54844902965499"/>
    <n v="47885.030548824412"/>
  </r>
  <r>
    <x v="305"/>
    <x v="1"/>
    <x v="4"/>
    <x v="3"/>
    <n v="58.469692720428903"/>
    <n v="819.40197301014905"/>
    <n v="47910.181576416595"/>
  </r>
  <r>
    <x v="306"/>
    <x v="1"/>
    <x v="3"/>
    <x v="0"/>
    <n v="58.510831759229497"/>
    <n v="819.255496990643"/>
    <n v="47935.320552243458"/>
  </r>
  <r>
    <x v="307"/>
    <x v="1"/>
    <x v="5"/>
    <x v="2"/>
    <n v="58.551970798029998"/>
    <n v="819.10902097113797"/>
    <n v="47960.447476305009"/>
  </r>
  <r>
    <x v="308"/>
    <x v="1"/>
    <x v="2"/>
    <x v="3"/>
    <n v="58.5931098368306"/>
    <n v="818.96254495163203"/>
    <n v="47985.562348601292"/>
  </r>
  <r>
    <x v="309"/>
    <x v="1"/>
    <x v="5"/>
    <x v="3"/>
    <n v="58.634248875631201"/>
    <n v="818.816068932127"/>
    <n v="48010.665169132328"/>
  </r>
  <r>
    <x v="310"/>
    <x v="1"/>
    <x v="4"/>
    <x v="2"/>
    <n v="58.675387914431703"/>
    <n v="818.66959291262106"/>
    <n v="48035.755937897928"/>
  </r>
  <r>
    <x v="311"/>
    <x v="1"/>
    <x v="5"/>
    <x v="2"/>
    <n v="58.716526953232297"/>
    <n v="818.523116893115"/>
    <n v="48060.834654898295"/>
  </r>
  <r>
    <x v="312"/>
    <x v="1"/>
    <x v="3"/>
    <x v="2"/>
    <n v="58.757665992032898"/>
    <n v="818.37664087360997"/>
    <n v="48085.901320133431"/>
  </r>
  <r>
    <x v="313"/>
    <x v="1"/>
    <x v="1"/>
    <x v="1"/>
    <n v="58.7988050308334"/>
    <n v="818.23016485410403"/>
    <n v="48110.955933603131"/>
  </r>
  <r>
    <x v="314"/>
    <x v="1"/>
    <x v="1"/>
    <x v="0"/>
    <n v="58.839944069634001"/>
    <n v="818.08368883459798"/>
    <n v="48135.998495307613"/>
  </r>
  <r>
    <x v="315"/>
    <x v="1"/>
    <x v="0"/>
    <x v="2"/>
    <n v="58.881083108434602"/>
    <n v="817.93721281509295"/>
    <n v="48161.029005246848"/>
  </r>
  <r>
    <x v="316"/>
    <x v="1"/>
    <x v="2"/>
    <x v="0"/>
    <n v="58.922222147235097"/>
    <n v="817.79073679558701"/>
    <n v="48186.047463420648"/>
  </r>
  <r>
    <x v="317"/>
    <x v="1"/>
    <x v="4"/>
    <x v="3"/>
    <n v="58.963361186035698"/>
    <n v="817.64426077608096"/>
    <n v="48211.053869829222"/>
  </r>
  <r>
    <x v="318"/>
    <x v="1"/>
    <x v="0"/>
    <x v="3"/>
    <n v="59.004500224836299"/>
    <n v="817.49778475657604"/>
    <n v="48236.048224472564"/>
  </r>
  <r>
    <x v="319"/>
    <x v="1"/>
    <x v="0"/>
    <x v="3"/>
    <n v="59.045639263636801"/>
    <n v="817.35130873706998"/>
    <n v="48261.030527350464"/>
  </r>
  <r>
    <x v="320"/>
    <x v="1"/>
    <x v="1"/>
    <x v="3"/>
    <n v="59.086778302437402"/>
    <n v="817.20483271756495"/>
    <n v="48286.000778463203"/>
  </r>
  <r>
    <x v="321"/>
    <x v="1"/>
    <x v="0"/>
    <x v="3"/>
    <n v="59.127917341238003"/>
    <n v="817.05835669805901"/>
    <n v="48310.958977810587"/>
  </r>
  <r>
    <x v="322"/>
    <x v="1"/>
    <x v="4"/>
    <x v="0"/>
    <n v="59.169056380038498"/>
    <n v="816.91188067855296"/>
    <n v="48335.905125392579"/>
  </r>
  <r>
    <x v="323"/>
    <x v="1"/>
    <x v="3"/>
    <x v="3"/>
    <n v="59.210195418839099"/>
    <n v="816.76540465904702"/>
    <n v="48360.839221209368"/>
  </r>
  <r>
    <x v="324"/>
    <x v="1"/>
    <x v="1"/>
    <x v="0"/>
    <n v="59.2513344576397"/>
    <n v="816.61892863954199"/>
    <n v="48385.76126526091"/>
  </r>
  <r>
    <x v="325"/>
    <x v="1"/>
    <x v="3"/>
    <x v="4"/>
    <n v="59.292473496440202"/>
    <n v="816.47245262003605"/>
    <n v="48410.671257547016"/>
  </r>
  <r>
    <x v="326"/>
    <x v="1"/>
    <x v="2"/>
    <x v="1"/>
    <n v="59.333612535240803"/>
    <n v="816.32597660053102"/>
    <n v="48435.569198067955"/>
  </r>
  <r>
    <x v="327"/>
    <x v="1"/>
    <x v="2"/>
    <x v="0"/>
    <n v="59.374751574041397"/>
    <n v="816.17950058102497"/>
    <n v="48460.455086823531"/>
  </r>
  <r>
    <x v="328"/>
    <x v="1"/>
    <x v="2"/>
    <x v="1"/>
    <n v="59.415890612841899"/>
    <n v="816.03302456151903"/>
    <n v="48485.328923813744"/>
  </r>
  <r>
    <x v="239"/>
    <x v="1"/>
    <x v="4"/>
    <x v="2"/>
    <n v="59.4570296516425"/>
    <n v="815.88654854202105"/>
    <n v="48510.190709039205"/>
  </r>
  <r>
    <x v="97"/>
    <x v="1"/>
    <x v="4"/>
    <x v="2"/>
    <n v="59.498168690443102"/>
    <n v="815.74007252250794"/>
    <n v="48535.040442498466"/>
  </r>
  <r>
    <x v="65"/>
    <x v="1"/>
    <x v="0"/>
    <x v="3"/>
    <n v="59.539307729243603"/>
    <n v="815.593596503002"/>
    <n v="48559.878124192779"/>
  </r>
  <r>
    <x v="329"/>
    <x v="1"/>
    <x v="2"/>
    <x v="3"/>
    <n v="59.580446768044197"/>
    <n v="815.44712048349697"/>
    <n v="48584.703754121918"/>
  </r>
  <r>
    <x v="298"/>
    <x v="1"/>
    <x v="2"/>
    <x v="1"/>
    <n v="59.621585806844799"/>
    <n v="815.30064446399103"/>
    <n v="48609.517332285708"/>
  </r>
  <r>
    <x v="330"/>
    <x v="1"/>
    <x v="0"/>
    <x v="2"/>
    <n v="59.6627248456453"/>
    <n v="815.154168444486"/>
    <n v="48634.318858684172"/>
  </r>
  <r>
    <x v="331"/>
    <x v="1"/>
    <x v="1"/>
    <x v="0"/>
    <n v="59.703863884445902"/>
    <n v="815.00769242497995"/>
    <n v="48659.108333317352"/>
  </r>
  <r>
    <x v="332"/>
    <x v="1"/>
    <x v="1"/>
    <x v="2"/>
    <n v="59.745002923246503"/>
    <n v="814.86121640547401"/>
    <n v="48683.885756185249"/>
  </r>
  <r>
    <x v="333"/>
    <x v="1"/>
    <x v="1"/>
    <x v="3"/>
    <n v="59.786141962046997"/>
    <n v="814.71474038596898"/>
    <n v="48708.651127287805"/>
  </r>
  <r>
    <x v="87"/>
    <x v="1"/>
    <x v="2"/>
    <x v="4"/>
    <n v="59.827281000847599"/>
    <n v="814.56826436646304"/>
    <n v="48733.4044466251"/>
  </r>
  <r>
    <x v="334"/>
    <x v="2"/>
    <x v="5"/>
    <x v="3"/>
    <n v="59.8684200396482"/>
    <n v="814.42178834695699"/>
    <n v="48758.145714197082"/>
  </r>
  <r>
    <x v="132"/>
    <x v="2"/>
    <x v="3"/>
    <x v="0"/>
    <n v="59.909559078448702"/>
    <n v="814.27531232745196"/>
    <n v="48782.874930003753"/>
  </r>
  <r>
    <x v="335"/>
    <x v="2"/>
    <x v="0"/>
    <x v="1"/>
    <n v="59.950698117249303"/>
    <n v="814.12883630794602"/>
    <n v="48807.592094045147"/>
  </r>
  <r>
    <x v="336"/>
    <x v="2"/>
    <x v="4"/>
    <x v="1"/>
    <n v="59.991837156049897"/>
    <n v="813.98236028843996"/>
    <n v="48832.297206321229"/>
  </r>
  <r>
    <x v="337"/>
    <x v="2"/>
    <x v="1"/>
    <x v="1"/>
    <n v="60.032976194850399"/>
    <n v="813.83588426893505"/>
    <n v="48856.990266831999"/>
  </r>
  <r>
    <x v="338"/>
    <x v="2"/>
    <x v="2"/>
    <x v="3"/>
    <n v="60.074115233651"/>
    <n v="813.68940824942899"/>
    <n v="48881.671275577493"/>
  </r>
  <r>
    <x v="339"/>
    <x v="2"/>
    <x v="4"/>
    <x v="3"/>
    <n v="60.115254272451601"/>
    <n v="813.54293222992396"/>
    <n v="48906.340232557741"/>
  </r>
  <r>
    <x v="340"/>
    <x v="2"/>
    <x v="1"/>
    <x v="0"/>
    <n v="60.156393311252103"/>
    <n v="813.39645621041802"/>
    <n v="48930.997137772552"/>
  </r>
  <r>
    <x v="341"/>
    <x v="2"/>
    <x v="1"/>
    <x v="0"/>
    <n v="60.197532350052697"/>
    <n v="813.24998019091197"/>
    <n v="48955.641991222139"/>
  </r>
  <r>
    <x v="342"/>
    <x v="2"/>
    <x v="5"/>
    <x v="3"/>
    <n v="60.238671388853298"/>
    <n v="813.10350417140603"/>
    <n v="48980.274792906435"/>
  </r>
  <r>
    <x v="343"/>
    <x v="2"/>
    <x v="3"/>
    <x v="2"/>
    <n v="60.2798104276538"/>
    <n v="812.957028151901"/>
    <n v="49004.895542825405"/>
  </r>
  <r>
    <x v="344"/>
    <x v="2"/>
    <x v="3"/>
    <x v="3"/>
    <n v="60.320949466454401"/>
    <n v="812.81055213239495"/>
    <n v="49029.504240979099"/>
  </r>
  <r>
    <x v="345"/>
    <x v="2"/>
    <x v="5"/>
    <x v="0"/>
    <n v="60.362088505255002"/>
    <n v="812.66407611289003"/>
    <n v="49054.100887367553"/>
  </r>
  <r>
    <x v="127"/>
    <x v="2"/>
    <x v="5"/>
    <x v="3"/>
    <n v="60.403227544055497"/>
    <n v="812.51760009338398"/>
    <n v="49078.685481990557"/>
  </r>
  <r>
    <x v="346"/>
    <x v="2"/>
    <x v="4"/>
    <x v="4"/>
    <n v="60.444366582856098"/>
    <n v="812.37112407387804"/>
    <n v="49103.258024848357"/>
  </r>
  <r>
    <x v="347"/>
    <x v="2"/>
    <x v="4"/>
    <x v="2"/>
    <n v="60.485505621656699"/>
    <n v="812.22464805437301"/>
    <n v="49127.818515940911"/>
  </r>
  <r>
    <x v="348"/>
    <x v="2"/>
    <x v="0"/>
    <x v="3"/>
    <n v="60.526644660457201"/>
    <n v="812.07817203486695"/>
    <n v="49152.366955268022"/>
  </r>
  <r>
    <x v="349"/>
    <x v="2"/>
    <x v="1"/>
    <x v="2"/>
    <n v="60.567783699257802"/>
    <n v="811.93169601536101"/>
    <n v="49176.903342829923"/>
  </r>
  <r>
    <x v="338"/>
    <x v="2"/>
    <x v="0"/>
    <x v="2"/>
    <n v="60.608922738058403"/>
    <n v="811.78521999585598"/>
    <n v="49201.427678626576"/>
  </r>
  <r>
    <x v="80"/>
    <x v="2"/>
    <x v="4"/>
    <x v="0"/>
    <n v="60.650061776858898"/>
    <n v="811.63874397635004"/>
    <n v="49225.939962657794"/>
  </r>
  <r>
    <x v="350"/>
    <x v="2"/>
    <x v="2"/>
    <x v="4"/>
    <n v="60.691200815659499"/>
    <n v="811.49226795684501"/>
    <n v="49250.440194923845"/>
  </r>
  <r>
    <x v="351"/>
    <x v="2"/>
    <x v="0"/>
    <x v="3"/>
    <n v="60.732339854460101"/>
    <n v="811.34579193733896"/>
    <n v="49274.928375424541"/>
  </r>
  <r>
    <x v="352"/>
    <x v="2"/>
    <x v="3"/>
    <x v="3"/>
    <n v="60.773478893260602"/>
    <n v="811.19931591783302"/>
    <n v="49299.404504159866"/>
  </r>
  <r>
    <x v="353"/>
    <x v="2"/>
    <x v="0"/>
    <x v="3"/>
    <n v="60.814617932061203"/>
    <n v="811.05283989832799"/>
    <n v="49323.868581130024"/>
  </r>
  <r>
    <x v="354"/>
    <x v="2"/>
    <x v="2"/>
    <x v="3"/>
    <n v="60.855756970861798"/>
    <n v="810.90636387882205"/>
    <n v="49348.320606334819"/>
  </r>
  <r>
    <x v="355"/>
    <x v="2"/>
    <x v="0"/>
    <x v="3"/>
    <n v="60.896896009662299"/>
    <n v="810.759887859316"/>
    <n v="49372.760579774236"/>
  </r>
  <r>
    <x v="356"/>
    <x v="2"/>
    <x v="2"/>
    <x v="4"/>
    <n v="60.938035048462901"/>
    <n v="810.61341183981096"/>
    <n v="49397.188501448494"/>
  </r>
  <r>
    <x v="357"/>
    <x v="2"/>
    <x v="3"/>
    <x v="0"/>
    <n v="60.979174087263502"/>
    <n v="810.46693582030503"/>
    <n v="49421.604371357396"/>
  </r>
  <r>
    <x v="358"/>
    <x v="2"/>
    <x v="4"/>
    <x v="0"/>
    <n v="61.020313126064003"/>
    <n v="810.32045980079897"/>
    <n v="49446.008189500913"/>
  </r>
  <r>
    <x v="359"/>
    <x v="2"/>
    <x v="3"/>
    <x v="3"/>
    <n v="61.061452164864598"/>
    <n v="810.17398378129406"/>
    <n v="49470.399955879271"/>
  </r>
  <r>
    <x v="38"/>
    <x v="2"/>
    <x v="5"/>
    <x v="3"/>
    <n v="61.102591203665199"/>
    <n v="810.027507761788"/>
    <n v="49494.779670492273"/>
  </r>
  <r>
    <x v="360"/>
    <x v="2"/>
    <x v="0"/>
    <x v="2"/>
    <n v="61.143730242465701"/>
    <n v="809.88103174228297"/>
    <n v="49519.147333339948"/>
  </r>
  <r>
    <x v="44"/>
    <x v="2"/>
    <x v="4"/>
    <x v="2"/>
    <n v="61.184869281266302"/>
    <n v="809.73455572277703"/>
    <n v="49543.502944422355"/>
  </r>
  <r>
    <x v="361"/>
    <x v="2"/>
    <x v="2"/>
    <x v="1"/>
    <n v="61.226008320066903"/>
    <n v="809.58807970327098"/>
    <n v="49567.846503739456"/>
  </r>
  <r>
    <x v="362"/>
    <x v="2"/>
    <x v="2"/>
    <x v="2"/>
    <n v="61.267147358867398"/>
    <n v="809.44160368376595"/>
    <n v="49592.178011291231"/>
  </r>
  <r>
    <x v="228"/>
    <x v="2"/>
    <x v="5"/>
    <x v="4"/>
    <n v="61.308286397667999"/>
    <n v="809.29512766426001"/>
    <n v="49616.497467077737"/>
  </r>
  <r>
    <x v="83"/>
    <x v="2"/>
    <x v="4"/>
    <x v="2"/>
    <n v="61.3494254364686"/>
    <n v="809.14865164475395"/>
    <n v="49640.804871098939"/>
  </r>
  <r>
    <x v="363"/>
    <x v="2"/>
    <x v="1"/>
    <x v="0"/>
    <n v="61.390564475269102"/>
    <n v="809.00217562524904"/>
    <n v="49665.100223354828"/>
  </r>
  <r>
    <x v="364"/>
    <x v="2"/>
    <x v="0"/>
    <x v="3"/>
    <n v="61.431703514069703"/>
    <n v="808.85569960574298"/>
    <n v="49689.383523845427"/>
  </r>
  <r>
    <x v="58"/>
    <x v="2"/>
    <x v="0"/>
    <x v="3"/>
    <n v="61.472842552870297"/>
    <n v="808.70922358623704"/>
    <n v="49713.654772570735"/>
  </r>
  <r>
    <x v="365"/>
    <x v="2"/>
    <x v="1"/>
    <x v="2"/>
    <n v="61.513981591670799"/>
    <n v="808.56274756673201"/>
    <n v="49737.913969530717"/>
  </r>
  <r>
    <x v="366"/>
    <x v="2"/>
    <x v="4"/>
    <x v="2"/>
    <n v="61.5551206304714"/>
    <n v="808.41627154722596"/>
    <n v="49762.161114725415"/>
  </r>
  <r>
    <x v="367"/>
    <x v="2"/>
    <x v="5"/>
    <x v="2"/>
    <n v="61.596259669272001"/>
    <n v="808.26979552772002"/>
    <n v="49786.396208154831"/>
  </r>
  <r>
    <x v="368"/>
    <x v="2"/>
    <x v="1"/>
    <x v="1"/>
    <n v="61.637398708072503"/>
    <n v="808.12331950821499"/>
    <n v="49810.619249818912"/>
  </r>
  <r>
    <x v="369"/>
    <x v="2"/>
    <x v="2"/>
    <x v="0"/>
    <n v="61.678537746873097"/>
    <n v="807.97684348870905"/>
    <n v="49834.830239717718"/>
  </r>
  <r>
    <x v="370"/>
    <x v="2"/>
    <x v="5"/>
    <x v="2"/>
    <n v="61.719676785673698"/>
    <n v="807.83036746920402"/>
    <n v="49859.029177851284"/>
  </r>
  <r>
    <x v="128"/>
    <x v="2"/>
    <x v="3"/>
    <x v="2"/>
    <n v="61.7608158244742"/>
    <n v="807.68389144969797"/>
    <n v="49883.216064219407"/>
  </r>
  <r>
    <x v="371"/>
    <x v="2"/>
    <x v="4"/>
    <x v="3"/>
    <n v="61.801954863274801"/>
    <n v="807.53741543019203"/>
    <n v="49907.390898822319"/>
  </r>
  <r>
    <x v="372"/>
    <x v="2"/>
    <x v="0"/>
    <x v="2"/>
    <n v="61.843093902075402"/>
    <n v="807.390939410687"/>
    <n v="49931.553681659985"/>
  </r>
  <r>
    <x v="373"/>
    <x v="2"/>
    <x v="1"/>
    <x v="1"/>
    <n v="61.884232940875897"/>
    <n v="807.24446339118094"/>
    <n v="49955.704412732208"/>
  </r>
  <r>
    <x v="374"/>
    <x v="2"/>
    <x v="4"/>
    <x v="3"/>
    <n v="61.925371979676498"/>
    <n v="807.097987371675"/>
    <n v="49979.84309203922"/>
  </r>
  <r>
    <x v="180"/>
    <x v="2"/>
    <x v="4"/>
    <x v="1"/>
    <n v="61.9665110184771"/>
    <n v="806.95151135216997"/>
    <n v="50003.969719580986"/>
  </r>
  <r>
    <x v="375"/>
    <x v="2"/>
    <x v="2"/>
    <x v="2"/>
    <n v="62.007650057277601"/>
    <n v="806.80503533266403"/>
    <n v="50028.084295357323"/>
  </r>
  <r>
    <x v="376"/>
    <x v="2"/>
    <x v="1"/>
    <x v="2"/>
    <n v="62.048789096078202"/>
    <n v="806.65855931315798"/>
    <n v="50052.186819368428"/>
  </r>
  <r>
    <x v="377"/>
    <x v="3"/>
    <x v="5"/>
    <x v="3"/>
    <n v="62.089928134878797"/>
    <n v="806.51208329365295"/>
    <n v="50076.277291614293"/>
  </r>
  <r>
    <x v="151"/>
    <x v="3"/>
    <x v="3"/>
    <x v="0"/>
    <n v="62.131067173679298"/>
    <n v="806.36560727414701"/>
    <n v="50100.35571209473"/>
  </r>
  <r>
    <x v="378"/>
    <x v="3"/>
    <x v="3"/>
    <x v="3"/>
    <n v="62.1722062124799"/>
    <n v="806.21913125464198"/>
    <n v="50124.42208081"/>
  </r>
  <r>
    <x v="126"/>
    <x v="3"/>
    <x v="3"/>
    <x v="2"/>
    <n v="62.213345251280501"/>
    <n v="806.07265523513604"/>
    <n v="50148.476397759914"/>
  </r>
  <r>
    <x v="379"/>
    <x v="3"/>
    <x v="0"/>
    <x v="0"/>
    <n v="62.254484290081002"/>
    <n v="805.92617921562999"/>
    <n v="50172.518662944443"/>
  </r>
  <r>
    <x v="380"/>
    <x v="3"/>
    <x v="2"/>
    <x v="1"/>
    <n v="62.295623328881597"/>
    <n v="805.77970319612496"/>
    <n v="50196.548876363813"/>
  </r>
  <r>
    <x v="381"/>
    <x v="3"/>
    <x v="2"/>
    <x v="3"/>
    <n v="62.336762367682198"/>
    <n v="805.63322717661902"/>
    <n v="50220.567038017827"/>
  </r>
  <r>
    <x v="382"/>
    <x v="3"/>
    <x v="5"/>
    <x v="0"/>
    <n v="62.3779014064827"/>
    <n v="805.48675115711296"/>
    <n v="50244.573147906456"/>
  </r>
  <r>
    <x v="383"/>
    <x v="3"/>
    <x v="5"/>
    <x v="3"/>
    <n v="62.419040445283301"/>
    <n v="805.34027513760805"/>
    <n v="50268.56720602994"/>
  </r>
  <r>
    <x v="29"/>
    <x v="3"/>
    <x v="0"/>
    <x v="3"/>
    <n v="62.460179484083902"/>
    <n v="805.19379911810199"/>
    <n v="50292.549212388047"/>
  </r>
  <r>
    <x v="384"/>
    <x v="3"/>
    <x v="5"/>
    <x v="1"/>
    <n v="62.501318522884397"/>
    <n v="805.04732309859605"/>
    <n v="50316.519166980783"/>
  </r>
  <r>
    <x v="221"/>
    <x v="3"/>
    <x v="2"/>
    <x v="2"/>
    <n v="62.542457561684998"/>
    <n v="804.90084707909102"/>
    <n v="50340.477069808359"/>
  </r>
  <r>
    <x v="385"/>
    <x v="3"/>
    <x v="1"/>
    <x v="2"/>
    <n v="62.583596600485599"/>
    <n v="804.75437105958497"/>
    <n v="50364.422920870566"/>
  </r>
  <r>
    <x v="386"/>
    <x v="3"/>
    <x v="0"/>
    <x v="2"/>
    <n v="62.624735639286101"/>
    <n v="804.60789504007903"/>
    <n v="50388.356720167409"/>
  </r>
  <r>
    <x v="387"/>
    <x v="3"/>
    <x v="2"/>
    <x v="2"/>
    <n v="62.665874678086702"/>
    <n v="804.461419020574"/>
    <n v="50412.278467699085"/>
  </r>
  <r>
    <x v="93"/>
    <x v="3"/>
    <x v="1"/>
    <x v="2"/>
    <n v="62.707013716887303"/>
    <n v="804.31494300106795"/>
    <n v="50436.188163465398"/>
  </r>
  <r>
    <x v="388"/>
    <x v="3"/>
    <x v="3"/>
    <x v="2"/>
    <n v="62.748152755687798"/>
    <n v="804.16846698156201"/>
    <n v="50460.085807466334"/>
  </r>
  <r>
    <x v="389"/>
    <x v="3"/>
    <x v="1"/>
    <x v="1"/>
    <n v="62.789291794488399"/>
    <n v="804.02199096205698"/>
    <n v="50483.97139970211"/>
  </r>
  <r>
    <x v="390"/>
    <x v="3"/>
    <x v="5"/>
    <x v="3"/>
    <n v="62.830430833289"/>
    <n v="803.87551494255104"/>
    <n v="50507.84494017253"/>
  </r>
  <r>
    <x v="391"/>
    <x v="3"/>
    <x v="2"/>
    <x v="2"/>
    <n v="62.871569872089502"/>
    <n v="803.72903892304601"/>
    <n v="50531.706428877631"/>
  </r>
  <r>
    <x v="63"/>
    <x v="3"/>
    <x v="3"/>
    <x v="3"/>
    <n v="62.912708910890103"/>
    <n v="803.58256290353995"/>
    <n v="50555.555865817441"/>
  </r>
  <r>
    <x v="392"/>
    <x v="3"/>
    <x v="1"/>
    <x v="3"/>
    <n v="62.953847949690697"/>
    <n v="803.43608688403401"/>
    <n v="50579.393250991961"/>
  </r>
  <r>
    <x v="393"/>
    <x v="3"/>
    <x v="0"/>
    <x v="0"/>
    <n v="62.994986988491199"/>
    <n v="803.28961086452898"/>
    <n v="50603.218584401162"/>
  </r>
  <r>
    <x v="394"/>
    <x v="3"/>
    <x v="0"/>
    <x v="0"/>
    <n v="63.0361260272918"/>
    <n v="803.14313484502304"/>
    <n v="50627.031866045087"/>
  </r>
  <r>
    <x v="395"/>
    <x v="3"/>
    <x v="0"/>
    <x v="1"/>
    <n v="63.077265066092401"/>
    <n v="802.99665882551699"/>
    <n v="50650.833095923699"/>
  </r>
  <r>
    <x v="396"/>
    <x v="3"/>
    <x v="2"/>
    <x v="4"/>
    <n v="63.118404104892903"/>
    <n v="802.85018280601196"/>
    <n v="50674.622274036999"/>
  </r>
  <r>
    <x v="343"/>
    <x v="3"/>
    <x v="3"/>
    <x v="1"/>
    <n v="63.159543143693497"/>
    <n v="802.70370678650602"/>
    <n v="50698.399400385024"/>
  </r>
  <r>
    <x v="397"/>
    <x v="3"/>
    <x v="1"/>
    <x v="1"/>
    <n v="63.200682182494099"/>
    <n v="802.55723076700099"/>
    <n v="50722.164474967802"/>
  </r>
  <r>
    <x v="398"/>
    <x v="3"/>
    <x v="4"/>
    <x v="2"/>
    <n v="63.2418212212946"/>
    <n v="802.41075474749505"/>
    <n v="50745.917497785151"/>
  </r>
  <r>
    <x v="343"/>
    <x v="3"/>
    <x v="4"/>
    <x v="0"/>
    <n v="63.282960260095201"/>
    <n v="802.26427872798899"/>
    <n v="50769.658468837268"/>
  </r>
  <r>
    <x v="399"/>
    <x v="3"/>
    <x v="1"/>
    <x v="3"/>
    <n v="63.324099298895803"/>
    <n v="802.11780270848396"/>
    <n v="50793.387388124152"/>
  </r>
  <r>
    <x v="208"/>
    <x v="3"/>
    <x v="4"/>
    <x v="0"/>
    <n v="63.365238337696297"/>
    <n v="801.97132668897802"/>
    <n v="50817.104255645594"/>
  </r>
  <r>
    <x v="400"/>
    <x v="3"/>
    <x v="4"/>
    <x v="3"/>
    <n v="63.406377376496899"/>
    <n v="801.82485066947197"/>
    <n v="50840.809071401811"/>
  </r>
  <r>
    <x v="401"/>
    <x v="3"/>
    <x v="3"/>
    <x v="2"/>
    <n v="63.4475164152975"/>
    <n v="801.67837464996705"/>
    <n v="50864.501835392803"/>
  </r>
  <r>
    <x v="402"/>
    <x v="3"/>
    <x v="0"/>
    <x v="1"/>
    <n v="63.488655454098001"/>
    <n v="801.531898630461"/>
    <n v="50888.182547618344"/>
  </r>
  <r>
    <x v="403"/>
    <x v="3"/>
    <x v="3"/>
    <x v="1"/>
    <n v="63.529794492898603"/>
    <n v="801.38542261095495"/>
    <n v="50911.851208078668"/>
  </r>
  <r>
    <x v="404"/>
    <x v="3"/>
    <x v="0"/>
    <x v="1"/>
    <n v="63.570933531699197"/>
    <n v="801.23894659145003"/>
    <n v="50935.507816773752"/>
  </r>
  <r>
    <x v="370"/>
    <x v="3"/>
    <x v="5"/>
    <x v="3"/>
    <n v="63.612072570499699"/>
    <n v="801.09247057194398"/>
    <n v="50959.152373703393"/>
  </r>
  <r>
    <x v="405"/>
    <x v="3"/>
    <x v="4"/>
    <x v="1"/>
    <n v="63.6532116093003"/>
    <n v="800.94599455243804"/>
    <n v="50982.784878867824"/>
  </r>
  <r>
    <x v="406"/>
    <x v="3"/>
    <x v="4"/>
    <x v="0"/>
    <n v="63.694350648100901"/>
    <n v="800.79951853293301"/>
    <n v="51006.405332267008"/>
  </r>
  <r>
    <x v="407"/>
    <x v="3"/>
    <x v="1"/>
    <x v="3"/>
    <n v="63.735489686901403"/>
    <n v="800.65304251342695"/>
    <n v="51030.013733900756"/>
  </r>
  <r>
    <x v="145"/>
    <x v="3"/>
    <x v="2"/>
    <x v="1"/>
    <n v="63.776628725701997"/>
    <n v="800.50656649392101"/>
    <n v="51053.610083769279"/>
  </r>
  <r>
    <x v="408"/>
    <x v="3"/>
    <x v="5"/>
    <x v="4"/>
    <n v="63.817767764502598"/>
    <n v="800.36009047441598"/>
    <n v="51077.19438187257"/>
  </r>
  <r>
    <x v="409"/>
    <x v="3"/>
    <x v="1"/>
    <x v="2"/>
    <n v="63.8589068033031"/>
    <n v="800.21361445491004"/>
    <n v="51100.766628210418"/>
  </r>
  <r>
    <x v="410"/>
    <x v="3"/>
    <x v="1"/>
    <x v="1"/>
    <n v="63.900045842103701"/>
    <n v="800.06713843540501"/>
    <n v="51124.326822783107"/>
  </r>
  <r>
    <x v="92"/>
    <x v="3"/>
    <x v="3"/>
    <x v="2"/>
    <n v="63.941184880904302"/>
    <n v="799.92066241589896"/>
    <n v="51147.874965590432"/>
  </r>
  <r>
    <x v="411"/>
    <x v="3"/>
    <x v="0"/>
    <x v="4"/>
    <n v="63.982323919704797"/>
    <n v="799.77418639639302"/>
    <n v="51171.41105663238"/>
  </r>
  <r>
    <x v="412"/>
    <x v="3"/>
    <x v="3"/>
    <x v="4"/>
    <n v="64.023462958505405"/>
    <n v="799.62771037688799"/>
    <n v="51194.935095909175"/>
  </r>
  <r>
    <x v="413"/>
    <x v="3"/>
    <x v="2"/>
    <x v="4"/>
    <n v="64.064601997305999"/>
    <n v="799.48123435738205"/>
    <n v="51218.4470834206"/>
  </r>
  <r>
    <x v="414"/>
    <x v="3"/>
    <x v="0"/>
    <x v="2"/>
    <n v="64.105741036106494"/>
    <n v="799.334758337876"/>
    <n v="51241.947019166648"/>
  </r>
  <r>
    <x v="415"/>
    <x v="3"/>
    <x v="0"/>
    <x v="1"/>
    <n v="64.146880074907102"/>
    <n v="799.18828231837097"/>
    <n v="51265.434903147543"/>
  </r>
  <r>
    <x v="416"/>
    <x v="3"/>
    <x v="1"/>
    <x v="0"/>
    <n v="64.188019113707696"/>
    <n v="799.04180629886503"/>
    <n v="51288.910735363068"/>
  </r>
  <r>
    <x v="417"/>
    <x v="3"/>
    <x v="0"/>
    <x v="3"/>
    <n v="64.229158152508205"/>
    <n v="798.89533027936"/>
    <n v="51312.374515813288"/>
  </r>
  <r>
    <x v="418"/>
    <x v="3"/>
    <x v="5"/>
    <x v="2"/>
    <n v="64.270297191308799"/>
    <n v="798.74885425985406"/>
    <n v="51335.826244498217"/>
  </r>
  <r>
    <x v="419"/>
    <x v="3"/>
    <x v="1"/>
    <x v="3"/>
    <n v="64.311436230109393"/>
    <n v="798.602378240348"/>
    <n v="51359.265921417842"/>
  </r>
  <r>
    <x v="420"/>
    <x v="3"/>
    <x v="5"/>
    <x v="2"/>
    <n v="64.352575268909902"/>
    <n v="798.45590222084297"/>
    <n v="51382.693546572162"/>
  </r>
  <r>
    <x v="157"/>
    <x v="3"/>
    <x v="2"/>
    <x v="3"/>
    <n v="64.393714307710496"/>
    <n v="798.309426202037"/>
    <n v="51406.109120006266"/>
  </r>
  <r>
    <x v="421"/>
    <x v="3"/>
    <x v="4"/>
    <x v="2"/>
    <n v="64.434853346511105"/>
    <n v="798.16295018183098"/>
    <n v="51429.51264158493"/>
  </r>
  <r>
    <x v="422"/>
    <x v="3"/>
    <x v="3"/>
    <x v="4"/>
    <n v="64.475992385311599"/>
    <n v="798.01647416232595"/>
    <n v="51452.904111443335"/>
  </r>
  <r>
    <x v="423"/>
    <x v="3"/>
    <x v="0"/>
    <x v="1"/>
    <n v="64.517131424112193"/>
    <n v="797.86999814282001"/>
    <n v="51476.283529536471"/>
  </r>
  <r>
    <x v="424"/>
    <x v="3"/>
    <x v="2"/>
    <x v="2"/>
    <n v="64.558270462912802"/>
    <n v="797.72352212331396"/>
    <n v="51499.65089586431"/>
  </r>
  <r>
    <x v="146"/>
    <x v="3"/>
    <x v="5"/>
    <x v="3"/>
    <n v="64.599409501713296"/>
    <n v="797.57704610380904"/>
    <n v="51523.006210426829"/>
  </r>
  <r>
    <x v="425"/>
    <x v="3"/>
    <x v="1"/>
    <x v="3"/>
    <n v="64.640548540513905"/>
    <n v="797.43057008430299"/>
    <n v="51546.349473224065"/>
  </r>
  <r>
    <x v="426"/>
    <x v="3"/>
    <x v="4"/>
    <x v="1"/>
    <n v="64.681687579314499"/>
    <n v="797.28409406479705"/>
    <n v="51569.680684255996"/>
  </r>
  <r>
    <x v="427"/>
    <x v="3"/>
    <x v="0"/>
    <x v="2"/>
    <n v="64.722826618114993"/>
    <n v="797.13761804529202"/>
    <n v="51592.999843522608"/>
  </r>
  <r>
    <x v="428"/>
    <x v="3"/>
    <x v="2"/>
    <x v="1"/>
    <n v="64.763965656915602"/>
    <n v="796.99114202578596"/>
    <n v="51616.306951023944"/>
  </r>
  <r>
    <x v="223"/>
    <x v="3"/>
    <x v="2"/>
    <x v="0"/>
    <n v="64.805104695716196"/>
    <n v="796.84466600628002"/>
    <n v="51639.602006759982"/>
  </r>
  <r>
    <x v="429"/>
    <x v="3"/>
    <x v="1"/>
    <x v="3"/>
    <n v="64.846243734516705"/>
    <n v="796.69818998677499"/>
    <n v="51662.885010730708"/>
  </r>
  <r>
    <x v="331"/>
    <x v="3"/>
    <x v="3"/>
    <x v="2"/>
    <n v="64.887382773317299"/>
    <n v="796.55171396726905"/>
    <n v="51686.155962936144"/>
  </r>
  <r>
    <x v="430"/>
    <x v="3"/>
    <x v="4"/>
    <x v="4"/>
    <n v="64.928521812117907"/>
    <n v="796.40523794776402"/>
    <n v="51709.414863376347"/>
  </r>
  <r>
    <x v="431"/>
    <x v="3"/>
    <x v="1"/>
    <x v="3"/>
    <n v="64.969660850918402"/>
    <n v="796.25876192825797"/>
    <n v="51732.6617120511"/>
  </r>
  <r>
    <x v="432"/>
    <x v="3"/>
    <x v="5"/>
    <x v="1"/>
    <n v="65.010799889718996"/>
    <n v="796.11228590875203"/>
    <n v="51755.896508960635"/>
  </r>
  <r>
    <x v="433"/>
    <x v="3"/>
    <x v="3"/>
    <x v="3"/>
    <n v="65.051938928519604"/>
    <n v="795.965809889247"/>
    <n v="51779.119254104939"/>
  </r>
  <r>
    <x v="434"/>
    <x v="4"/>
    <x v="4"/>
    <x v="3"/>
    <n v="65.093077967320099"/>
    <n v="795.81933386974094"/>
    <n v="51802.329947483791"/>
  </r>
  <r>
    <x v="435"/>
    <x v="4"/>
    <x v="0"/>
    <x v="3"/>
    <n v="65.134217006120707"/>
    <n v="795.672857850235"/>
    <n v="51825.528589097441"/>
  </r>
  <r>
    <x v="436"/>
    <x v="4"/>
    <x v="4"/>
    <x v="2"/>
    <n v="65.175356044921301"/>
    <n v="795.52638183072997"/>
    <n v="51848.715178945837"/>
  </r>
  <r>
    <x v="437"/>
    <x v="4"/>
    <x v="5"/>
    <x v="3"/>
    <n v="65.216495083721796"/>
    <n v="795.37990581122403"/>
    <n v="51871.889717028796"/>
  </r>
  <r>
    <x v="438"/>
    <x v="0"/>
    <x v="0"/>
    <x v="0"/>
    <n v="65.257634122522404"/>
    <n v="795.233429791719"/>
    <n v="51895.052203346604"/>
  </r>
  <r>
    <x v="138"/>
    <x v="0"/>
    <x v="1"/>
    <x v="1"/>
    <n v="65.298773161322998"/>
    <n v="795.08695377221295"/>
    <n v="51918.202637899041"/>
  </r>
  <r>
    <x v="439"/>
    <x v="0"/>
    <x v="2"/>
    <x v="1"/>
    <n v="65.339912200123507"/>
    <n v="794.94047775270701"/>
    <n v="51941.341020686108"/>
  </r>
  <r>
    <x v="440"/>
    <x v="0"/>
    <x v="3"/>
    <x v="2"/>
    <n v="65.381051238924101"/>
    <n v="794.79400173320198"/>
    <n v="51964.467351708008"/>
  </r>
  <r>
    <x v="441"/>
    <x v="0"/>
    <x v="0"/>
    <x v="2"/>
    <n v="65.422190277724695"/>
    <n v="794.64752571369604"/>
    <n v="51987.581630964552"/>
  </r>
  <r>
    <x v="308"/>
    <x v="0"/>
    <x v="2"/>
    <x v="2"/>
    <n v="65.463329316525204"/>
    <n v="794.50104969418999"/>
    <n v="52010.683858455719"/>
  </r>
  <r>
    <x v="148"/>
    <x v="0"/>
    <x v="2"/>
    <x v="3"/>
    <n v="65.504468355325798"/>
    <n v="794.35457367468496"/>
    <n v="52033.774034181719"/>
  </r>
  <r>
    <x v="442"/>
    <x v="0"/>
    <x v="2"/>
    <x v="4"/>
    <n v="65.545607394126407"/>
    <n v="794.20809765517902"/>
    <n v="52056.85215814237"/>
  </r>
  <r>
    <x v="443"/>
    <x v="0"/>
    <x v="4"/>
    <x v="0"/>
    <n v="65.586746432926901"/>
    <n v="794.06162163567296"/>
    <n v="52079.918230337622"/>
  </r>
  <r>
    <x v="444"/>
    <x v="0"/>
    <x v="4"/>
    <x v="2"/>
    <n v="65.627885471727495"/>
    <n v="793.91514561616805"/>
    <n v="52102.972250767736"/>
  </r>
  <r>
    <x v="445"/>
    <x v="0"/>
    <x v="5"/>
    <x v="2"/>
    <n v="65.669024510528104"/>
    <n v="793.76866959666199"/>
    <n v="52126.01421943248"/>
  </r>
  <r>
    <x v="446"/>
    <x v="0"/>
    <x v="4"/>
    <x v="1"/>
    <n v="65.710163549328598"/>
    <n v="793.62219357715605"/>
    <n v="52149.044136331846"/>
  </r>
  <r>
    <x v="447"/>
    <x v="0"/>
    <x v="0"/>
    <x v="3"/>
    <n v="65.751302588129207"/>
    <n v="793.47571755765102"/>
    <n v="52172.06200146606"/>
  </r>
  <r>
    <x v="448"/>
    <x v="0"/>
    <x v="2"/>
    <x v="3"/>
    <n v="65.792441626929801"/>
    <n v="793.32924153814497"/>
    <n v="52195.067814834896"/>
  </r>
  <r>
    <x v="449"/>
    <x v="0"/>
    <x v="4"/>
    <x v="3"/>
    <n v="65.833580665730295"/>
    <n v="793.18276551863903"/>
    <n v="52218.061576438362"/>
  </r>
  <r>
    <x v="450"/>
    <x v="0"/>
    <x v="2"/>
    <x v="3"/>
    <n v="65.874719704530904"/>
    <n v="793.036289499134"/>
    <n v="52241.043286276676"/>
  </r>
  <r>
    <x v="451"/>
    <x v="0"/>
    <x v="5"/>
    <x v="3"/>
    <n v="65.915858743331498"/>
    <n v="792.88981347962795"/>
    <n v="52264.012944349612"/>
  </r>
  <r>
    <x v="110"/>
    <x v="0"/>
    <x v="2"/>
    <x v="3"/>
    <n v="65.956997782132007"/>
    <n v="792.74333746012303"/>
    <n v="52286.970550657257"/>
  </r>
  <r>
    <x v="334"/>
    <x v="0"/>
    <x v="0"/>
    <x v="1"/>
    <n v="65.998136820932601"/>
    <n v="792.59686144061698"/>
    <n v="52309.916105199598"/>
  </r>
  <r>
    <x v="406"/>
    <x v="0"/>
    <x v="5"/>
    <x v="3"/>
    <n v="66.039275859733195"/>
    <n v="792.45038542111104"/>
    <n v="52332.849607976641"/>
  </r>
  <r>
    <x v="452"/>
    <x v="0"/>
    <x v="0"/>
    <x v="3"/>
    <n v="66.080414898533704"/>
    <n v="792.30390940160601"/>
    <n v="52355.771058988386"/>
  </r>
  <r>
    <x v="453"/>
    <x v="0"/>
    <x v="3"/>
    <x v="3"/>
    <n v="66.121553937334298"/>
    <n v="792.15743338209995"/>
    <n v="52378.68045823482"/>
  </r>
  <r>
    <x v="247"/>
    <x v="0"/>
    <x v="0"/>
    <x v="3"/>
    <n v="66.162692976134906"/>
    <n v="792.01095736259401"/>
    <n v="52401.577805715984"/>
  </r>
  <r>
    <x v="216"/>
    <x v="0"/>
    <x v="5"/>
    <x v="2"/>
    <n v="66.203832021935398"/>
    <n v="791.86448134308898"/>
    <n v="52424.463106974858"/>
  </r>
  <r>
    <x v="173"/>
    <x v="0"/>
    <x v="4"/>
    <x v="1"/>
    <n v="66.244971053735995"/>
    <n v="791.71800532358304"/>
    <n v="52447.336345382362"/>
  </r>
  <r>
    <x v="454"/>
    <x v="0"/>
    <x v="1"/>
    <x v="2"/>
    <n v="66.286110092536603"/>
    <n v="791.57152930407801"/>
    <n v="52470.197537567678"/>
  </r>
  <r>
    <x v="455"/>
    <x v="0"/>
    <x v="1"/>
    <x v="2"/>
    <n v="66.327249131337098"/>
    <n v="791.42505328457196"/>
    <n v="52493.046677987542"/>
  </r>
  <r>
    <x v="456"/>
    <x v="0"/>
    <x v="3"/>
    <x v="3"/>
    <n v="66.368388170137706"/>
    <n v="791.27857726506602"/>
    <n v="52515.883766642204"/>
  </r>
  <r>
    <x v="457"/>
    <x v="0"/>
    <x v="5"/>
    <x v="3"/>
    <n v="66.4095272089383"/>
    <n v="791.13210124556099"/>
    <n v="52538.708803531612"/>
  </r>
  <r>
    <x v="458"/>
    <x v="0"/>
    <x v="5"/>
    <x v="0"/>
    <n v="66.450666247738795"/>
    <n v="790.98562522605505"/>
    <n v="52561.521788655584"/>
  </r>
  <r>
    <x v="459"/>
    <x v="0"/>
    <x v="5"/>
    <x v="2"/>
    <n v="66.491805286539403"/>
    <n v="790.839149206549"/>
    <n v="52584.322722014338"/>
  </r>
  <r>
    <x v="460"/>
    <x v="0"/>
    <x v="0"/>
    <x v="0"/>
    <n v="66.532944325339997"/>
    <n v="790.69267318704397"/>
    <n v="52607.111603607853"/>
  </r>
  <r>
    <x v="461"/>
    <x v="0"/>
    <x v="4"/>
    <x v="1"/>
    <n v="66.574083364140506"/>
    <n v="790.54619716753803"/>
    <n v="52629.888433435932"/>
  </r>
  <r>
    <x v="409"/>
    <x v="0"/>
    <x v="5"/>
    <x v="2"/>
    <n v="66.6152224029411"/>
    <n v="790.39972114803197"/>
    <n v="52652.653211498779"/>
  </r>
  <r>
    <x v="462"/>
    <x v="0"/>
    <x v="2"/>
    <x v="2"/>
    <n v="66.656361441741694"/>
    <n v="790.25324512852706"/>
    <n v="52675.4059377964"/>
  </r>
  <r>
    <x v="155"/>
    <x v="0"/>
    <x v="4"/>
    <x v="2"/>
    <n v="66.697500480542203"/>
    <n v="790.106769109021"/>
    <n v="52698.146612328579"/>
  </r>
  <r>
    <x v="463"/>
    <x v="0"/>
    <x v="5"/>
    <x v="2"/>
    <n v="66.738639519342797"/>
    <n v="789.96029308951495"/>
    <n v="52720.875235095518"/>
  </r>
  <r>
    <x v="464"/>
    <x v="0"/>
    <x v="1"/>
    <x v="3"/>
    <n v="66.779778558143406"/>
    <n v="789.81381707001003"/>
    <n v="52743.591806097254"/>
  </r>
  <r>
    <x v="228"/>
    <x v="0"/>
    <x v="1"/>
    <x v="1"/>
    <n v="66.8209175969439"/>
    <n v="789.66734105050398"/>
    <n v="52766.296325333518"/>
  </r>
  <r>
    <x v="104"/>
    <x v="0"/>
    <x v="3"/>
    <x v="3"/>
    <n v="66.862056635744494"/>
    <n v="789.52086503099804"/>
    <n v="52788.988792804579"/>
  </r>
  <r>
    <x v="465"/>
    <x v="0"/>
    <x v="2"/>
    <x v="2"/>
    <n v="66.903195674545103"/>
    <n v="789.37438901149301"/>
    <n v="52811.6692085104"/>
  </r>
  <r>
    <x v="466"/>
    <x v="0"/>
    <x v="3"/>
    <x v="2"/>
    <n v="66.944334713345597"/>
    <n v="789.22791299198695"/>
    <n v="52834.337572450771"/>
  </r>
  <r>
    <x v="467"/>
    <x v="0"/>
    <x v="1"/>
    <x v="1"/>
    <n v="66.985473752146206"/>
    <n v="789.08143697248204"/>
    <n v="52856.993884626005"/>
  </r>
  <r>
    <x v="468"/>
    <x v="0"/>
    <x v="4"/>
    <x v="2"/>
    <n v="67.0266127909468"/>
    <n v="788.93496095297598"/>
    <n v="52879.638145035853"/>
  </r>
  <r>
    <x v="469"/>
    <x v="0"/>
    <x v="3"/>
    <x v="2"/>
    <n v="67.067751829747294"/>
    <n v="788.78848493347004"/>
    <n v="52902.270353680331"/>
  </r>
  <r>
    <x v="470"/>
    <x v="0"/>
    <x v="3"/>
    <x v="2"/>
    <n v="67.108890868547903"/>
    <n v="788.64200891396501"/>
    <n v="52924.890510559657"/>
  </r>
  <r>
    <x v="471"/>
    <x v="0"/>
    <x v="3"/>
    <x v="2"/>
    <n v="67.150029907348497"/>
    <n v="788.49553289445896"/>
    <n v="52947.498615673612"/>
  </r>
  <r>
    <x v="472"/>
    <x v="0"/>
    <x v="5"/>
    <x v="0"/>
    <n v="67.191168946149006"/>
    <n v="788.34905687495302"/>
    <n v="52970.094669022197"/>
  </r>
  <r>
    <x v="473"/>
    <x v="0"/>
    <x v="4"/>
    <x v="1"/>
    <n v="67.2323079849496"/>
    <n v="788.20258085544799"/>
    <n v="52992.678670605615"/>
  </r>
  <r>
    <x v="474"/>
    <x v="0"/>
    <x v="5"/>
    <x v="3"/>
    <n v="67.273447023750194"/>
    <n v="788.05610483594205"/>
    <n v="53015.250620423678"/>
  </r>
  <r>
    <x v="475"/>
    <x v="0"/>
    <x v="1"/>
    <x v="1"/>
    <n v="67.314586062550703"/>
    <n v="787.909628816436"/>
    <n v="53037.810518476363"/>
  </r>
  <r>
    <x v="175"/>
    <x v="0"/>
    <x v="1"/>
    <x v="1"/>
    <n v="67.355725101351297"/>
    <n v="787.76315279693097"/>
    <n v="53060.358364763881"/>
  </r>
  <r>
    <x v="476"/>
    <x v="0"/>
    <x v="0"/>
    <x v="1"/>
    <n v="67.396864140151905"/>
    <n v="787.61667677742503"/>
    <n v="53082.89415928605"/>
  </r>
  <r>
    <x v="116"/>
    <x v="0"/>
    <x v="2"/>
    <x v="3"/>
    <n v="67.4380031789524"/>
    <n v="787.47020075792"/>
    <n v="53105.417902042893"/>
  </r>
  <r>
    <x v="477"/>
    <x v="0"/>
    <x v="4"/>
    <x v="0"/>
    <n v="67.479142217752994"/>
    <n v="787.32372473841394"/>
    <n v="53127.929593034445"/>
  </r>
  <r>
    <x v="478"/>
    <x v="0"/>
    <x v="2"/>
    <x v="2"/>
    <n v="67.520281256553602"/>
    <n v="787.177248718908"/>
    <n v="53150.429232260714"/>
  </r>
  <r>
    <x v="479"/>
    <x v="0"/>
    <x v="0"/>
    <x v="3"/>
    <n v="67.561420295354097"/>
    <n v="787.03077269940297"/>
    <n v="53172.916819721664"/>
  </r>
  <r>
    <x v="480"/>
    <x v="0"/>
    <x v="0"/>
    <x v="1"/>
    <n v="67.602559334154705"/>
    <n v="786.88429667989703"/>
    <n v="53195.392355417331"/>
  </r>
  <r>
    <x v="481"/>
    <x v="0"/>
    <x v="4"/>
    <x v="2"/>
    <n v="67.643698372955299"/>
    <n v="786.73782066039098"/>
    <n v="53217.855839347685"/>
  </r>
  <r>
    <x v="482"/>
    <x v="0"/>
    <x v="1"/>
    <x v="2"/>
    <n v="67.684837411755794"/>
    <n v="786.59134464088595"/>
    <n v="53240.307271512735"/>
  </r>
  <r>
    <x v="483"/>
    <x v="0"/>
    <x v="4"/>
    <x v="3"/>
    <n v="67.725976450556402"/>
    <n v="786.44486862138001"/>
    <n v="53262.746651912508"/>
  </r>
  <r>
    <x v="484"/>
    <x v="0"/>
    <x v="1"/>
    <x v="3"/>
    <n v="67.767115489356996"/>
    <n v="786.29839260187396"/>
    <n v="53285.173980546962"/>
  </r>
  <r>
    <x v="168"/>
    <x v="0"/>
    <x v="5"/>
    <x v="1"/>
    <n v="67.808254528157505"/>
    <n v="786.15191658236904"/>
    <n v="53307.589257416126"/>
  </r>
  <r>
    <x v="485"/>
    <x v="0"/>
    <x v="3"/>
    <x v="3"/>
    <n v="67.849393566958099"/>
    <n v="786.00544056286299"/>
    <n v="53329.992482519985"/>
  </r>
  <r>
    <x v="486"/>
    <x v="1"/>
    <x v="3"/>
    <x v="1"/>
    <n v="67.890532605758693"/>
    <n v="785.85896454335796"/>
    <n v="53352.383655858612"/>
  </r>
  <r>
    <x v="487"/>
    <x v="1"/>
    <x v="2"/>
    <x v="1"/>
    <n v="67.931671644559202"/>
    <n v="785.71248852385202"/>
    <n v="53374.762777431803"/>
  </r>
  <r>
    <x v="488"/>
    <x v="1"/>
    <x v="3"/>
    <x v="2"/>
    <n v="67.972810683359796"/>
    <n v="785.56601250434596"/>
    <n v="53397.129847239761"/>
  </r>
  <r>
    <x v="461"/>
    <x v="1"/>
    <x v="0"/>
    <x v="3"/>
    <n v="68.013949722160405"/>
    <n v="785.41953648484105"/>
    <n v="53419.484865282509"/>
  </r>
  <r>
    <x v="489"/>
    <x v="1"/>
    <x v="4"/>
    <x v="3"/>
    <n v="68.055088760960899"/>
    <n v="785.27306046533499"/>
    <n v="53441.827831559785"/>
  </r>
  <r>
    <x v="490"/>
    <x v="1"/>
    <x v="0"/>
    <x v="4"/>
    <n v="68.096227799761493"/>
    <n v="785.12658444582905"/>
    <n v="53464.158746071851"/>
  </r>
  <r>
    <x v="438"/>
    <x v="1"/>
    <x v="0"/>
    <x v="0"/>
    <n v="68.137366838562102"/>
    <n v="784.98010842632402"/>
    <n v="53486.477608818692"/>
  </r>
  <r>
    <x v="491"/>
    <x v="1"/>
    <x v="4"/>
    <x v="4"/>
    <n v="68.178505877362596"/>
    <n v="784.83363240681797"/>
    <n v="53508.784419800075"/>
  </r>
  <r>
    <x v="30"/>
    <x v="1"/>
    <x v="4"/>
    <x v="3"/>
    <n v="68.219644916163205"/>
    <n v="784.68715638731203"/>
    <n v="53531.079179016255"/>
  </r>
  <r>
    <x v="492"/>
    <x v="1"/>
    <x v="1"/>
    <x v="3"/>
    <n v="68.260783954963799"/>
    <n v="784.540680367807"/>
    <n v="53553.361886467181"/>
  </r>
  <r>
    <x v="493"/>
    <x v="1"/>
    <x v="3"/>
    <x v="0"/>
    <n v="68.301922993764293"/>
    <n v="784.39420434830095"/>
    <n v="53575.632542152664"/>
  </r>
  <r>
    <x v="494"/>
    <x v="1"/>
    <x v="3"/>
    <x v="1"/>
    <n v="68.343062032564902"/>
    <n v="784.24772832879501"/>
    <n v="53597.891146072943"/>
  </r>
  <r>
    <x v="495"/>
    <x v="1"/>
    <x v="2"/>
    <x v="3"/>
    <n v="68.384201771365497"/>
    <n v="784.10125230928998"/>
    <n v="53620.138247098854"/>
  </r>
  <r>
    <x v="1"/>
    <x v="1"/>
    <x v="1"/>
    <x v="1"/>
    <n v="68.425340110166005"/>
    <n v="783.95477628978404"/>
    <n v="53642.372198617573"/>
  </r>
  <r>
    <x v="496"/>
    <x v="1"/>
    <x v="5"/>
    <x v="3"/>
    <n v="68.466479148966599"/>
    <n v="783.80830027027901"/>
    <n v="53664.594647242011"/>
  </r>
  <r>
    <x v="193"/>
    <x v="1"/>
    <x v="0"/>
    <x v="2"/>
    <n v="68.507618187767207"/>
    <n v="783.66182425077295"/>
    <n v="53686.805044101078"/>
  </r>
  <r>
    <x v="497"/>
    <x v="1"/>
    <x v="0"/>
    <x v="3"/>
    <n v="68.548757226567702"/>
    <n v="783.51534823126701"/>
    <n v="53709.003389194775"/>
  </r>
  <r>
    <x v="498"/>
    <x v="1"/>
    <x v="4"/>
    <x v="4"/>
    <n v="68.589896265368296"/>
    <n v="783.36887221176198"/>
    <n v="53731.189682523305"/>
  </r>
  <r>
    <x v="499"/>
    <x v="1"/>
    <x v="0"/>
    <x v="3"/>
    <n v="68.631035304168904"/>
    <n v="783.22239619225604"/>
    <n v="53753.363924086487"/>
  </r>
  <r>
    <x v="500"/>
    <x v="1"/>
    <x v="5"/>
    <x v="2"/>
    <n v="68.672174342969399"/>
    <n v="783.07592017274999"/>
    <n v="53775.526113884276"/>
  </r>
  <r>
    <x v="501"/>
    <x v="1"/>
    <x v="4"/>
    <x v="1"/>
    <n v="68.713313381770007"/>
    <n v="782.92944415324496"/>
    <n v="53797.676251916921"/>
  </r>
  <r>
    <x v="502"/>
    <x v="1"/>
    <x v="4"/>
    <x v="2"/>
    <n v="68.754452420570601"/>
    <n v="782.78296813373902"/>
    <n v="53819.814338184195"/>
  </r>
  <r>
    <x v="503"/>
    <x v="5"/>
    <x v="3"/>
    <x v="3"/>
    <n v="76"/>
    <n v="820"/>
    <n v="62320"/>
  </r>
  <r>
    <x v="332"/>
    <x v="5"/>
    <x v="0"/>
    <x v="3"/>
    <n v="16"/>
    <n v="820"/>
    <n v="13120"/>
  </r>
  <r>
    <x v="45"/>
    <x v="5"/>
    <x v="2"/>
    <x v="2"/>
    <n v="5"/>
    <n v="800"/>
    <n v="4000"/>
  </r>
  <r>
    <x v="504"/>
    <x v="5"/>
    <x v="3"/>
    <x v="2"/>
    <n v="45"/>
    <n v="800"/>
    <n v="36000"/>
  </r>
  <r>
    <x v="505"/>
    <x v="5"/>
    <x v="3"/>
    <x v="3"/>
    <n v="6"/>
    <n v="820"/>
    <n v="4920"/>
  </r>
  <r>
    <x v="506"/>
    <x v="5"/>
    <x v="2"/>
    <x v="1"/>
    <n v="34"/>
    <n v="1200"/>
    <n v="40800"/>
  </r>
  <r>
    <x v="507"/>
    <x v="5"/>
    <x v="2"/>
    <x v="4"/>
    <n v="37"/>
    <n v="450"/>
    <n v="16650"/>
  </r>
  <r>
    <x v="508"/>
    <x v="5"/>
    <x v="3"/>
    <x v="1"/>
    <n v="14"/>
    <n v="1200"/>
    <n v="16800"/>
  </r>
  <r>
    <x v="509"/>
    <x v="5"/>
    <x v="2"/>
    <x v="3"/>
    <n v="2"/>
    <n v="950"/>
    <n v="1900"/>
  </r>
  <r>
    <x v="455"/>
    <x v="5"/>
    <x v="4"/>
    <x v="4"/>
    <n v="20"/>
    <n v="450"/>
    <n v="9000"/>
  </r>
  <r>
    <x v="510"/>
    <x v="5"/>
    <x v="0"/>
    <x v="3"/>
    <n v="9"/>
    <n v="950"/>
    <n v="8550"/>
  </r>
  <r>
    <x v="511"/>
    <x v="5"/>
    <x v="1"/>
    <x v="2"/>
    <n v="34"/>
    <n v="800"/>
    <n v="27200"/>
  </r>
  <r>
    <x v="512"/>
    <x v="5"/>
    <x v="3"/>
    <x v="3"/>
    <n v="8"/>
    <n v="820"/>
    <n v="6560"/>
  </r>
  <r>
    <x v="513"/>
    <x v="5"/>
    <x v="0"/>
    <x v="1"/>
    <n v="15"/>
    <n v="1200"/>
    <n v="18000"/>
  </r>
  <r>
    <x v="514"/>
    <x v="5"/>
    <x v="2"/>
    <x v="2"/>
    <n v="19"/>
    <n v="800"/>
    <n v="15200"/>
  </r>
  <r>
    <x v="515"/>
    <x v="5"/>
    <x v="0"/>
    <x v="3"/>
    <n v="18"/>
    <n v="820"/>
    <n v="14760"/>
  </r>
  <r>
    <x v="516"/>
    <x v="5"/>
    <x v="5"/>
    <x v="2"/>
    <n v="33"/>
    <n v="800"/>
    <n v="26400"/>
  </r>
  <r>
    <x v="517"/>
    <x v="5"/>
    <x v="5"/>
    <x v="3"/>
    <n v="60"/>
    <n v="950"/>
    <n v="57000"/>
  </r>
  <r>
    <x v="518"/>
    <x v="5"/>
    <x v="2"/>
    <x v="3"/>
    <n v="4"/>
    <n v="820"/>
    <n v="3280"/>
  </r>
  <r>
    <x v="519"/>
    <x v="5"/>
    <x v="5"/>
    <x v="3"/>
    <n v="75"/>
    <n v="950"/>
    <n v="71250"/>
  </r>
  <r>
    <x v="520"/>
    <x v="5"/>
    <x v="1"/>
    <x v="2"/>
    <n v="18"/>
    <n v="800"/>
    <n v="14400"/>
  </r>
  <r>
    <x v="396"/>
    <x v="5"/>
    <x v="0"/>
    <x v="1"/>
    <n v="138"/>
    <n v="1200"/>
    <n v="165600"/>
  </r>
  <r>
    <x v="78"/>
    <x v="5"/>
    <x v="0"/>
    <x v="1"/>
    <n v="8"/>
    <n v="1200"/>
    <n v="9600"/>
  </r>
  <r>
    <x v="521"/>
    <x v="5"/>
    <x v="4"/>
    <x v="1"/>
    <n v="102"/>
    <n v="1200"/>
    <n v="122400"/>
  </r>
  <r>
    <x v="522"/>
    <x v="5"/>
    <x v="3"/>
    <x v="4"/>
    <n v="17"/>
    <n v="450"/>
    <n v="7650"/>
  </r>
  <r>
    <x v="523"/>
    <x v="5"/>
    <x v="0"/>
    <x v="4"/>
    <n v="39"/>
    <n v="450"/>
    <n v="17550"/>
  </r>
  <r>
    <x v="524"/>
    <x v="5"/>
    <x v="3"/>
    <x v="2"/>
    <n v="97"/>
    <n v="800"/>
    <n v="77600"/>
  </r>
  <r>
    <x v="525"/>
    <x v="5"/>
    <x v="3"/>
    <x v="0"/>
    <n v="72"/>
    <n v="650"/>
    <n v="46800"/>
  </r>
  <r>
    <x v="526"/>
    <x v="5"/>
    <x v="1"/>
    <x v="0"/>
    <n v="12"/>
    <n v="650"/>
    <n v="7800"/>
  </r>
  <r>
    <x v="419"/>
    <x v="5"/>
    <x v="0"/>
    <x v="4"/>
    <n v="28"/>
    <n v="450"/>
    <n v="12600"/>
  </r>
  <r>
    <x v="527"/>
    <x v="5"/>
    <x v="3"/>
    <x v="1"/>
    <n v="26"/>
    <n v="1200"/>
    <n v="31200"/>
  </r>
  <r>
    <x v="528"/>
    <x v="5"/>
    <x v="5"/>
    <x v="1"/>
    <n v="126"/>
    <n v="1200"/>
    <n v="151200"/>
  </r>
  <r>
    <x v="55"/>
    <x v="5"/>
    <x v="4"/>
    <x v="2"/>
    <n v="67"/>
    <n v="800"/>
    <n v="53600"/>
  </r>
  <r>
    <x v="529"/>
    <x v="5"/>
    <x v="5"/>
    <x v="0"/>
    <n v="138"/>
    <n v="650"/>
    <n v="89700"/>
  </r>
  <r>
    <x v="530"/>
    <x v="5"/>
    <x v="5"/>
    <x v="3"/>
    <n v="115"/>
    <n v="820"/>
    <n v="94300"/>
  </r>
  <r>
    <x v="531"/>
    <x v="5"/>
    <x v="5"/>
    <x v="1"/>
    <n v="70"/>
    <n v="1200"/>
    <n v="84000"/>
  </r>
  <r>
    <x v="532"/>
    <x v="5"/>
    <x v="1"/>
    <x v="2"/>
    <n v="51"/>
    <n v="800"/>
    <n v="40800"/>
  </r>
  <r>
    <x v="533"/>
    <x v="5"/>
    <x v="2"/>
    <x v="0"/>
    <n v="18"/>
    <n v="650"/>
    <n v="11700"/>
  </r>
  <r>
    <x v="48"/>
    <x v="5"/>
    <x v="5"/>
    <x v="2"/>
    <n v="18"/>
    <n v="800"/>
    <n v="14400"/>
  </r>
  <r>
    <x v="534"/>
    <x v="5"/>
    <x v="5"/>
    <x v="2"/>
    <n v="171"/>
    <n v="800"/>
    <n v="136800"/>
  </r>
  <r>
    <x v="57"/>
    <x v="5"/>
    <x v="4"/>
    <x v="3"/>
    <n v="88"/>
    <n v="950"/>
    <n v="83600"/>
  </r>
  <r>
    <x v="535"/>
    <x v="5"/>
    <x v="1"/>
    <x v="4"/>
    <n v="98"/>
    <n v="450"/>
    <n v="44100"/>
  </r>
  <r>
    <x v="536"/>
    <x v="5"/>
    <x v="4"/>
    <x v="2"/>
    <n v="29"/>
    <n v="800"/>
    <n v="23200"/>
  </r>
  <r>
    <x v="56"/>
    <x v="5"/>
    <x v="5"/>
    <x v="1"/>
    <n v="67"/>
    <n v="1200"/>
    <n v="80400"/>
  </r>
  <r>
    <x v="537"/>
    <x v="5"/>
    <x v="5"/>
    <x v="2"/>
    <n v="63"/>
    <n v="800"/>
    <n v="50400"/>
  </r>
  <r>
    <x v="314"/>
    <x v="5"/>
    <x v="1"/>
    <x v="2"/>
    <n v="83"/>
    <n v="800"/>
    <n v="66400"/>
  </r>
  <r>
    <x v="538"/>
    <x v="5"/>
    <x v="4"/>
    <x v="3"/>
    <n v="51"/>
    <n v="820"/>
    <n v="41820"/>
  </r>
  <r>
    <x v="539"/>
    <x v="5"/>
    <x v="4"/>
    <x v="4"/>
    <n v="273"/>
    <n v="450"/>
    <n v="122850"/>
  </r>
  <r>
    <x v="540"/>
    <x v="5"/>
    <x v="2"/>
    <x v="1"/>
    <n v="23"/>
    <n v="1200"/>
    <n v="27600"/>
  </r>
  <r>
    <x v="541"/>
    <x v="5"/>
    <x v="2"/>
    <x v="0"/>
    <n v="31"/>
    <n v="650"/>
    <n v="20150"/>
  </r>
  <r>
    <x v="323"/>
    <x v="5"/>
    <x v="5"/>
    <x v="2"/>
    <n v="12"/>
    <n v="800"/>
    <n v="9600"/>
  </r>
  <r>
    <x v="542"/>
    <x v="5"/>
    <x v="1"/>
    <x v="3"/>
    <n v="11"/>
    <n v="820"/>
    <n v="9020"/>
  </r>
  <r>
    <x v="543"/>
    <x v="5"/>
    <x v="5"/>
    <x v="3"/>
    <n v="39"/>
    <n v="820"/>
    <n v="31980"/>
  </r>
  <r>
    <x v="544"/>
    <x v="5"/>
    <x v="5"/>
    <x v="4"/>
    <n v="74"/>
    <n v="450"/>
    <n v="33300"/>
  </r>
  <r>
    <x v="545"/>
    <x v="5"/>
    <x v="0"/>
    <x v="3"/>
    <n v="109"/>
    <n v="820"/>
    <n v="89380"/>
  </r>
  <r>
    <x v="546"/>
    <x v="5"/>
    <x v="2"/>
    <x v="1"/>
    <n v="24"/>
    <n v="1200"/>
    <n v="28800"/>
  </r>
  <r>
    <x v="421"/>
    <x v="5"/>
    <x v="4"/>
    <x v="2"/>
    <n v="66"/>
    <n v="800"/>
    <n v="52800"/>
  </r>
  <r>
    <x v="547"/>
    <x v="5"/>
    <x v="0"/>
    <x v="3"/>
    <n v="36"/>
    <n v="820"/>
    <n v="29520"/>
  </r>
  <r>
    <x v="548"/>
    <x v="5"/>
    <x v="4"/>
    <x v="0"/>
    <n v="33"/>
    <n v="650"/>
    <n v="21450"/>
  </r>
  <r>
    <x v="549"/>
    <x v="5"/>
    <x v="1"/>
    <x v="3"/>
    <n v="3"/>
    <n v="820"/>
    <n v="2460"/>
  </r>
  <r>
    <x v="337"/>
    <x v="5"/>
    <x v="4"/>
    <x v="2"/>
    <n v="140"/>
    <n v="800"/>
    <n v="112000"/>
  </r>
  <r>
    <x v="550"/>
    <x v="5"/>
    <x v="1"/>
    <x v="1"/>
    <n v="1"/>
    <n v="1200"/>
    <n v="1200"/>
  </r>
  <r>
    <x v="551"/>
    <x v="5"/>
    <x v="3"/>
    <x v="3"/>
    <n v="13"/>
    <n v="820"/>
    <n v="10660"/>
  </r>
  <r>
    <x v="552"/>
    <x v="5"/>
    <x v="4"/>
    <x v="4"/>
    <n v="130"/>
    <n v="450"/>
    <n v="58500"/>
  </r>
  <r>
    <x v="553"/>
    <x v="5"/>
    <x v="0"/>
    <x v="3"/>
    <n v="76"/>
    <n v="820"/>
    <n v="62320"/>
  </r>
  <r>
    <x v="554"/>
    <x v="5"/>
    <x v="0"/>
    <x v="3"/>
    <n v="15"/>
    <n v="820"/>
    <n v="12300"/>
  </r>
  <r>
    <x v="440"/>
    <x v="5"/>
    <x v="3"/>
    <x v="3"/>
    <n v="40"/>
    <n v="950"/>
    <n v="38000"/>
  </r>
  <r>
    <x v="555"/>
    <x v="5"/>
    <x v="3"/>
    <x v="3"/>
    <n v="48"/>
    <n v="820"/>
    <n v="39360"/>
  </r>
  <r>
    <x v="556"/>
    <x v="5"/>
    <x v="4"/>
    <x v="3"/>
    <n v="295"/>
    <n v="820"/>
    <n v="241900"/>
  </r>
  <r>
    <x v="557"/>
    <x v="5"/>
    <x v="1"/>
    <x v="1"/>
    <n v="86"/>
    <n v="1200"/>
    <n v="103200"/>
  </r>
  <r>
    <x v="502"/>
    <x v="5"/>
    <x v="2"/>
    <x v="3"/>
    <n v="1"/>
    <n v="820"/>
    <n v="820"/>
  </r>
  <r>
    <x v="558"/>
    <x v="6"/>
    <x v="4"/>
    <x v="3"/>
    <n v="24"/>
    <n v="950"/>
    <n v="22800"/>
  </r>
  <r>
    <x v="559"/>
    <x v="6"/>
    <x v="2"/>
    <x v="4"/>
    <n v="18"/>
    <n v="450"/>
    <n v="8100"/>
  </r>
  <r>
    <x v="423"/>
    <x v="6"/>
    <x v="2"/>
    <x v="2"/>
    <n v="19"/>
    <n v="800"/>
    <n v="15200"/>
  </r>
  <r>
    <x v="560"/>
    <x v="6"/>
    <x v="3"/>
    <x v="3"/>
    <n v="27"/>
    <n v="820"/>
    <n v="22140"/>
  </r>
  <r>
    <x v="561"/>
    <x v="6"/>
    <x v="0"/>
    <x v="0"/>
    <n v="3"/>
    <n v="650"/>
    <n v="1950"/>
  </r>
  <r>
    <x v="166"/>
    <x v="6"/>
    <x v="4"/>
    <x v="3"/>
    <n v="20"/>
    <n v="820"/>
    <n v="16400"/>
  </r>
  <r>
    <x v="562"/>
    <x v="6"/>
    <x v="3"/>
    <x v="2"/>
    <n v="154"/>
    <n v="800"/>
    <n v="123200"/>
  </r>
  <r>
    <x v="563"/>
    <x v="6"/>
    <x v="5"/>
    <x v="2"/>
    <n v="4"/>
    <n v="800"/>
    <n v="3200"/>
  </r>
  <r>
    <x v="564"/>
    <x v="6"/>
    <x v="2"/>
    <x v="2"/>
    <n v="5"/>
    <n v="800"/>
    <n v="4000"/>
  </r>
  <r>
    <x v="546"/>
    <x v="6"/>
    <x v="1"/>
    <x v="4"/>
    <n v="92"/>
    <n v="450"/>
    <n v="41400"/>
  </r>
  <r>
    <x v="565"/>
    <x v="6"/>
    <x v="1"/>
    <x v="0"/>
    <n v="3"/>
    <n v="650"/>
    <n v="1950"/>
  </r>
  <r>
    <x v="566"/>
    <x v="6"/>
    <x v="3"/>
    <x v="1"/>
    <n v="13"/>
    <n v="1200"/>
    <n v="15600"/>
  </r>
  <r>
    <x v="567"/>
    <x v="6"/>
    <x v="4"/>
    <x v="3"/>
    <n v="236"/>
    <n v="950"/>
    <n v="224200"/>
  </r>
  <r>
    <x v="71"/>
    <x v="6"/>
    <x v="2"/>
    <x v="2"/>
    <n v="6"/>
    <n v="800"/>
    <n v="4800"/>
  </r>
  <r>
    <x v="568"/>
    <x v="6"/>
    <x v="5"/>
    <x v="3"/>
    <n v="6"/>
    <n v="950"/>
    <n v="5700"/>
  </r>
  <r>
    <x v="569"/>
    <x v="6"/>
    <x v="2"/>
    <x v="0"/>
    <n v="18"/>
    <n v="650"/>
    <n v="11700"/>
  </r>
  <r>
    <x v="570"/>
    <x v="6"/>
    <x v="1"/>
    <x v="3"/>
    <n v="56"/>
    <n v="950"/>
    <n v="53200"/>
  </r>
  <r>
    <x v="571"/>
    <x v="6"/>
    <x v="2"/>
    <x v="4"/>
    <n v="1"/>
    <n v="450"/>
    <n v="450"/>
  </r>
  <r>
    <x v="572"/>
    <x v="6"/>
    <x v="1"/>
    <x v="4"/>
    <n v="11"/>
    <n v="450"/>
    <n v="4950"/>
  </r>
  <r>
    <x v="573"/>
    <x v="6"/>
    <x v="2"/>
    <x v="4"/>
    <n v="1"/>
    <n v="450"/>
    <n v="450"/>
  </r>
  <r>
    <x v="574"/>
    <x v="6"/>
    <x v="4"/>
    <x v="2"/>
    <n v="139"/>
    <n v="800"/>
    <n v="111200"/>
  </r>
  <r>
    <x v="575"/>
    <x v="6"/>
    <x v="0"/>
    <x v="1"/>
    <n v="81"/>
    <n v="1200"/>
    <n v="97200"/>
  </r>
  <r>
    <x v="576"/>
    <x v="6"/>
    <x v="1"/>
    <x v="3"/>
    <n v="2"/>
    <n v="950"/>
    <n v="1900"/>
  </r>
  <r>
    <x v="577"/>
    <x v="6"/>
    <x v="3"/>
    <x v="2"/>
    <n v="32"/>
    <n v="800"/>
    <n v="25600"/>
  </r>
  <r>
    <x v="261"/>
    <x v="6"/>
    <x v="3"/>
    <x v="1"/>
    <n v="166"/>
    <n v="1200"/>
    <n v="199200"/>
  </r>
  <r>
    <x v="578"/>
    <x v="6"/>
    <x v="1"/>
    <x v="3"/>
    <n v="5"/>
    <n v="820"/>
    <n v="4100"/>
  </r>
  <r>
    <x v="579"/>
    <x v="6"/>
    <x v="3"/>
    <x v="3"/>
    <n v="65"/>
    <n v="820"/>
    <n v="53300"/>
  </r>
  <r>
    <x v="240"/>
    <x v="6"/>
    <x v="0"/>
    <x v="2"/>
    <n v="40"/>
    <n v="800"/>
    <n v="32000"/>
  </r>
  <r>
    <x v="580"/>
    <x v="6"/>
    <x v="2"/>
    <x v="3"/>
    <n v="14"/>
    <n v="820"/>
    <n v="11480"/>
  </r>
  <r>
    <x v="18"/>
    <x v="6"/>
    <x v="0"/>
    <x v="2"/>
    <n v="67"/>
    <n v="800"/>
    <n v="53600"/>
  </r>
  <r>
    <x v="581"/>
    <x v="6"/>
    <x v="2"/>
    <x v="3"/>
    <n v="25"/>
    <n v="820"/>
    <n v="20500"/>
  </r>
  <r>
    <x v="582"/>
    <x v="6"/>
    <x v="1"/>
    <x v="1"/>
    <n v="5"/>
    <n v="1200"/>
    <n v="6000"/>
  </r>
  <r>
    <x v="583"/>
    <x v="6"/>
    <x v="5"/>
    <x v="3"/>
    <n v="132"/>
    <n v="950"/>
    <n v="125400"/>
  </r>
  <r>
    <x v="584"/>
    <x v="6"/>
    <x v="2"/>
    <x v="0"/>
    <n v="5"/>
    <n v="650"/>
    <n v="3250"/>
  </r>
  <r>
    <x v="585"/>
    <x v="6"/>
    <x v="4"/>
    <x v="3"/>
    <n v="31"/>
    <n v="820"/>
    <n v="25420"/>
  </r>
  <r>
    <x v="586"/>
    <x v="6"/>
    <x v="2"/>
    <x v="2"/>
    <n v="4"/>
    <n v="800"/>
    <n v="3200"/>
  </r>
  <r>
    <x v="587"/>
    <x v="6"/>
    <x v="3"/>
    <x v="4"/>
    <n v="128"/>
    <n v="450"/>
    <n v="57600"/>
  </r>
  <r>
    <x v="317"/>
    <x v="6"/>
    <x v="0"/>
    <x v="3"/>
    <n v="33"/>
    <n v="950"/>
    <n v="31350"/>
  </r>
  <r>
    <x v="264"/>
    <x v="6"/>
    <x v="3"/>
    <x v="1"/>
    <n v="4"/>
    <n v="1200"/>
    <n v="4800"/>
  </r>
  <r>
    <x v="588"/>
    <x v="6"/>
    <x v="5"/>
    <x v="0"/>
    <n v="145"/>
    <n v="650"/>
    <n v="94250"/>
  </r>
  <r>
    <x v="589"/>
    <x v="6"/>
    <x v="3"/>
    <x v="1"/>
    <n v="73"/>
    <n v="1200"/>
    <n v="87600"/>
  </r>
  <r>
    <x v="590"/>
    <x v="6"/>
    <x v="5"/>
    <x v="2"/>
    <n v="6"/>
    <n v="800"/>
    <n v="4800"/>
  </r>
  <r>
    <x v="591"/>
    <x v="6"/>
    <x v="1"/>
    <x v="1"/>
    <n v="48"/>
    <n v="1200"/>
    <n v="57600"/>
  </r>
  <r>
    <x v="388"/>
    <x v="6"/>
    <x v="2"/>
    <x v="3"/>
    <n v="1"/>
    <n v="820"/>
    <n v="820"/>
  </r>
  <r>
    <x v="592"/>
    <x v="6"/>
    <x v="4"/>
    <x v="2"/>
    <n v="45"/>
    <n v="800"/>
    <n v="36000"/>
  </r>
  <r>
    <x v="593"/>
    <x v="6"/>
    <x v="2"/>
    <x v="3"/>
    <n v="13"/>
    <n v="820"/>
    <n v="10660"/>
  </r>
  <r>
    <x v="293"/>
    <x v="6"/>
    <x v="2"/>
    <x v="3"/>
    <n v="37"/>
    <n v="950"/>
    <n v="35150"/>
  </r>
  <r>
    <x v="594"/>
    <x v="6"/>
    <x v="2"/>
    <x v="4"/>
    <n v="39"/>
    <n v="450"/>
    <n v="17550"/>
  </r>
  <r>
    <x v="189"/>
    <x v="6"/>
    <x v="3"/>
    <x v="2"/>
    <n v="51"/>
    <n v="800"/>
    <n v="40800"/>
  </r>
  <r>
    <x v="595"/>
    <x v="6"/>
    <x v="1"/>
    <x v="3"/>
    <n v="13"/>
    <n v="820"/>
    <n v="10660"/>
  </r>
  <r>
    <x v="596"/>
    <x v="6"/>
    <x v="1"/>
    <x v="2"/>
    <n v="17"/>
    <n v="800"/>
    <n v="13600"/>
  </r>
  <r>
    <x v="597"/>
    <x v="6"/>
    <x v="5"/>
    <x v="2"/>
    <n v="20"/>
    <n v="800"/>
    <n v="16000"/>
  </r>
  <r>
    <x v="598"/>
    <x v="6"/>
    <x v="4"/>
    <x v="3"/>
    <n v="23"/>
    <n v="820"/>
    <n v="18860"/>
  </r>
  <r>
    <x v="599"/>
    <x v="6"/>
    <x v="3"/>
    <x v="2"/>
    <n v="54"/>
    <n v="800"/>
    <n v="43200"/>
  </r>
  <r>
    <x v="38"/>
    <x v="6"/>
    <x v="4"/>
    <x v="3"/>
    <n v="4"/>
    <n v="950"/>
    <n v="3800"/>
  </r>
  <r>
    <x v="600"/>
    <x v="6"/>
    <x v="0"/>
    <x v="3"/>
    <n v="3"/>
    <n v="820"/>
    <n v="2460"/>
  </r>
  <r>
    <x v="601"/>
    <x v="6"/>
    <x v="4"/>
    <x v="2"/>
    <n v="197"/>
    <n v="800"/>
    <n v="157600"/>
  </r>
  <r>
    <x v="602"/>
    <x v="6"/>
    <x v="5"/>
    <x v="3"/>
    <n v="18"/>
    <n v="950"/>
    <n v="17100"/>
  </r>
  <r>
    <x v="76"/>
    <x v="6"/>
    <x v="5"/>
    <x v="2"/>
    <n v="12"/>
    <n v="800"/>
    <n v="9600"/>
  </r>
  <r>
    <x v="603"/>
    <x v="6"/>
    <x v="2"/>
    <x v="2"/>
    <n v="17"/>
    <n v="800"/>
    <n v="13600"/>
  </r>
  <r>
    <x v="148"/>
    <x v="6"/>
    <x v="5"/>
    <x v="1"/>
    <n v="53"/>
    <n v="1200"/>
    <n v="63600"/>
  </r>
  <r>
    <x v="576"/>
    <x v="6"/>
    <x v="1"/>
    <x v="3"/>
    <n v="1"/>
    <n v="820"/>
    <n v="820"/>
  </r>
  <r>
    <x v="604"/>
    <x v="6"/>
    <x v="1"/>
    <x v="4"/>
    <n v="9"/>
    <n v="450"/>
    <n v="4050"/>
  </r>
  <r>
    <x v="577"/>
    <x v="6"/>
    <x v="5"/>
    <x v="0"/>
    <n v="249"/>
    <n v="650"/>
    <n v="161850"/>
  </r>
  <r>
    <x v="605"/>
    <x v="6"/>
    <x v="3"/>
    <x v="2"/>
    <n v="31"/>
    <n v="800"/>
    <n v="24800"/>
  </r>
  <r>
    <x v="606"/>
    <x v="6"/>
    <x v="4"/>
    <x v="2"/>
    <n v="91"/>
    <n v="800"/>
    <n v="72800"/>
  </r>
  <r>
    <x v="93"/>
    <x v="6"/>
    <x v="3"/>
    <x v="4"/>
    <n v="12"/>
    <n v="450"/>
    <n v="5400"/>
  </r>
  <r>
    <x v="607"/>
    <x v="6"/>
    <x v="2"/>
    <x v="1"/>
    <n v="1"/>
    <n v="1200"/>
    <n v="1200"/>
  </r>
  <r>
    <x v="33"/>
    <x v="6"/>
    <x v="1"/>
    <x v="4"/>
    <n v="10"/>
    <n v="450"/>
    <n v="4500"/>
  </r>
  <r>
    <x v="608"/>
    <x v="6"/>
    <x v="4"/>
    <x v="0"/>
    <n v="36"/>
    <n v="650"/>
    <n v="23400"/>
  </r>
  <r>
    <x v="609"/>
    <x v="6"/>
    <x v="1"/>
    <x v="2"/>
    <n v="16"/>
    <n v="800"/>
    <n v="12800"/>
  </r>
  <r>
    <x v="305"/>
    <x v="6"/>
    <x v="5"/>
    <x v="3"/>
    <n v="24"/>
    <n v="820"/>
    <n v="19680"/>
  </r>
  <r>
    <x v="610"/>
    <x v="7"/>
    <x v="4"/>
    <x v="2"/>
    <n v="2"/>
    <n v="800"/>
    <n v="1600"/>
  </r>
  <r>
    <x v="249"/>
    <x v="7"/>
    <x v="4"/>
    <x v="3"/>
    <n v="172"/>
    <n v="950"/>
    <n v="163400"/>
  </r>
  <r>
    <x v="352"/>
    <x v="7"/>
    <x v="3"/>
    <x v="3"/>
    <n v="21"/>
    <n v="820"/>
    <n v="17220"/>
  </r>
  <r>
    <x v="611"/>
    <x v="7"/>
    <x v="3"/>
    <x v="0"/>
    <n v="50"/>
    <n v="650"/>
    <n v="32500"/>
  </r>
  <r>
    <x v="612"/>
    <x v="7"/>
    <x v="4"/>
    <x v="2"/>
    <n v="43"/>
    <n v="800"/>
    <n v="34400"/>
  </r>
  <r>
    <x v="83"/>
    <x v="7"/>
    <x v="1"/>
    <x v="0"/>
    <n v="42"/>
    <n v="650"/>
    <n v="27300"/>
  </r>
  <r>
    <x v="586"/>
    <x v="7"/>
    <x v="1"/>
    <x v="4"/>
    <n v="1"/>
    <n v="450"/>
    <n v="450"/>
  </r>
  <r>
    <x v="613"/>
    <x v="7"/>
    <x v="2"/>
    <x v="4"/>
    <n v="6"/>
    <n v="450"/>
    <n v="2700"/>
  </r>
  <r>
    <x v="420"/>
    <x v="7"/>
    <x v="3"/>
    <x v="1"/>
    <n v="10"/>
    <n v="1200"/>
    <n v="12000"/>
  </r>
  <r>
    <x v="614"/>
    <x v="7"/>
    <x v="2"/>
    <x v="2"/>
    <n v="21"/>
    <n v="800"/>
    <n v="16800"/>
  </r>
  <r>
    <x v="615"/>
    <x v="7"/>
    <x v="2"/>
    <x v="1"/>
    <n v="18"/>
    <n v="1200"/>
    <n v="21600"/>
  </r>
  <r>
    <x v="616"/>
    <x v="7"/>
    <x v="1"/>
    <x v="0"/>
    <n v="31"/>
    <n v="650"/>
    <n v="20150"/>
  </r>
  <r>
    <x v="617"/>
    <x v="7"/>
    <x v="1"/>
    <x v="3"/>
    <n v="42"/>
    <n v="820"/>
    <n v="34440"/>
  </r>
  <r>
    <x v="34"/>
    <x v="7"/>
    <x v="2"/>
    <x v="1"/>
    <n v="16"/>
    <n v="1200"/>
    <n v="19200"/>
  </r>
  <r>
    <x v="618"/>
    <x v="7"/>
    <x v="4"/>
    <x v="3"/>
    <n v="173"/>
    <n v="950"/>
    <n v="164350"/>
  </r>
  <r>
    <x v="619"/>
    <x v="7"/>
    <x v="3"/>
    <x v="1"/>
    <n v="185"/>
    <n v="1200"/>
    <n v="222000"/>
  </r>
  <r>
    <x v="84"/>
    <x v="7"/>
    <x v="0"/>
    <x v="1"/>
    <n v="89"/>
    <n v="1200"/>
    <n v="106800"/>
  </r>
  <r>
    <x v="123"/>
    <x v="7"/>
    <x v="2"/>
    <x v="4"/>
    <n v="10"/>
    <n v="450"/>
    <n v="4500"/>
  </r>
  <r>
    <x v="620"/>
    <x v="7"/>
    <x v="5"/>
    <x v="2"/>
    <n v="20"/>
    <n v="800"/>
    <n v="16000"/>
  </r>
  <r>
    <x v="280"/>
    <x v="7"/>
    <x v="4"/>
    <x v="3"/>
    <n v="17"/>
    <n v="820"/>
    <n v="13940"/>
  </r>
  <r>
    <x v="621"/>
    <x v="7"/>
    <x v="0"/>
    <x v="4"/>
    <n v="71"/>
    <n v="450"/>
    <n v="31950"/>
  </r>
  <r>
    <x v="622"/>
    <x v="7"/>
    <x v="0"/>
    <x v="2"/>
    <n v="81"/>
    <n v="800"/>
    <n v="64800"/>
  </r>
  <r>
    <x v="623"/>
    <x v="7"/>
    <x v="0"/>
    <x v="0"/>
    <n v="43"/>
    <n v="650"/>
    <n v="27950"/>
  </r>
  <r>
    <x v="200"/>
    <x v="7"/>
    <x v="3"/>
    <x v="3"/>
    <n v="107"/>
    <n v="950"/>
    <n v="101650"/>
  </r>
  <r>
    <x v="211"/>
    <x v="7"/>
    <x v="2"/>
    <x v="4"/>
    <n v="4"/>
    <n v="450"/>
    <n v="1800"/>
  </r>
  <r>
    <x v="624"/>
    <x v="7"/>
    <x v="2"/>
    <x v="2"/>
    <n v="23"/>
    <n v="800"/>
    <n v="18400"/>
  </r>
  <r>
    <x v="311"/>
    <x v="7"/>
    <x v="4"/>
    <x v="4"/>
    <n v="32"/>
    <n v="450"/>
    <n v="14400"/>
  </r>
  <r>
    <x v="625"/>
    <x v="7"/>
    <x v="2"/>
    <x v="2"/>
    <n v="49"/>
    <n v="800"/>
    <n v="39200"/>
  </r>
  <r>
    <x v="41"/>
    <x v="7"/>
    <x v="1"/>
    <x v="2"/>
    <n v="9"/>
    <n v="800"/>
    <n v="7200"/>
  </r>
  <r>
    <x v="13"/>
    <x v="7"/>
    <x v="1"/>
    <x v="0"/>
    <n v="3"/>
    <n v="650"/>
    <n v="1950"/>
  </r>
  <r>
    <x v="626"/>
    <x v="7"/>
    <x v="3"/>
    <x v="4"/>
    <n v="116"/>
    <n v="450"/>
    <n v="52200"/>
  </r>
  <r>
    <x v="627"/>
    <x v="7"/>
    <x v="1"/>
    <x v="2"/>
    <n v="26"/>
    <n v="800"/>
    <n v="20800"/>
  </r>
  <r>
    <x v="137"/>
    <x v="7"/>
    <x v="4"/>
    <x v="3"/>
    <n v="59"/>
    <n v="950"/>
    <n v="56050"/>
  </r>
  <r>
    <x v="628"/>
    <x v="7"/>
    <x v="1"/>
    <x v="3"/>
    <n v="96"/>
    <n v="820"/>
    <n v="78720"/>
  </r>
  <r>
    <x v="629"/>
    <x v="7"/>
    <x v="3"/>
    <x v="4"/>
    <n v="178"/>
    <n v="450"/>
    <n v="80100"/>
  </r>
  <r>
    <x v="372"/>
    <x v="7"/>
    <x v="3"/>
    <x v="2"/>
    <n v="8"/>
    <n v="800"/>
    <n v="6400"/>
  </r>
  <r>
    <x v="630"/>
    <x v="7"/>
    <x v="2"/>
    <x v="3"/>
    <n v="6"/>
    <n v="820"/>
    <n v="4920"/>
  </r>
  <r>
    <x v="138"/>
    <x v="7"/>
    <x v="0"/>
    <x v="3"/>
    <n v="16"/>
    <n v="820"/>
    <n v="13120"/>
  </r>
  <r>
    <x v="631"/>
    <x v="7"/>
    <x v="1"/>
    <x v="4"/>
    <n v="66"/>
    <n v="450"/>
    <n v="29700"/>
  </r>
  <r>
    <x v="550"/>
    <x v="7"/>
    <x v="5"/>
    <x v="2"/>
    <n v="46"/>
    <n v="800"/>
    <n v="36800"/>
  </r>
  <r>
    <x v="632"/>
    <x v="7"/>
    <x v="0"/>
    <x v="2"/>
    <n v="98"/>
    <n v="800"/>
    <n v="78400"/>
  </r>
  <r>
    <x v="309"/>
    <x v="7"/>
    <x v="0"/>
    <x v="3"/>
    <n v="17"/>
    <n v="950"/>
    <n v="16150"/>
  </r>
  <r>
    <x v="633"/>
    <x v="7"/>
    <x v="3"/>
    <x v="1"/>
    <n v="41"/>
    <n v="1200"/>
    <n v="49200"/>
  </r>
  <r>
    <x v="634"/>
    <x v="7"/>
    <x v="5"/>
    <x v="1"/>
    <n v="230"/>
    <n v="1200"/>
    <n v="276000"/>
  </r>
  <r>
    <x v="635"/>
    <x v="7"/>
    <x v="1"/>
    <x v="3"/>
    <n v="13"/>
    <n v="820"/>
    <n v="10660"/>
  </r>
  <r>
    <x v="364"/>
    <x v="7"/>
    <x v="2"/>
    <x v="3"/>
    <n v="18"/>
    <n v="950"/>
    <n v="17100"/>
  </r>
  <r>
    <x v="636"/>
    <x v="7"/>
    <x v="2"/>
    <x v="4"/>
    <n v="29"/>
    <n v="450"/>
    <n v="13050"/>
  </r>
  <r>
    <x v="12"/>
    <x v="7"/>
    <x v="4"/>
    <x v="2"/>
    <n v="9"/>
    <n v="800"/>
    <n v="7200"/>
  </r>
  <r>
    <x v="637"/>
    <x v="7"/>
    <x v="4"/>
    <x v="3"/>
    <n v="270"/>
    <n v="820"/>
    <n v="221400"/>
  </r>
  <r>
    <x v="638"/>
    <x v="7"/>
    <x v="0"/>
    <x v="2"/>
    <n v="45"/>
    <n v="800"/>
    <n v="36000"/>
  </r>
  <r>
    <x v="397"/>
    <x v="7"/>
    <x v="2"/>
    <x v="2"/>
    <n v="8"/>
    <n v="800"/>
    <n v="6400"/>
  </r>
  <r>
    <x v="639"/>
    <x v="7"/>
    <x v="4"/>
    <x v="3"/>
    <n v="5"/>
    <n v="820"/>
    <n v="4100"/>
  </r>
  <r>
    <x v="640"/>
    <x v="7"/>
    <x v="5"/>
    <x v="4"/>
    <n v="97"/>
    <n v="450"/>
    <n v="43650"/>
  </r>
  <r>
    <x v="381"/>
    <x v="7"/>
    <x v="5"/>
    <x v="3"/>
    <n v="31"/>
    <n v="950"/>
    <n v="29450"/>
  </r>
  <r>
    <x v="641"/>
    <x v="7"/>
    <x v="4"/>
    <x v="2"/>
    <n v="68"/>
    <n v="800"/>
    <n v="54400"/>
  </r>
  <r>
    <x v="484"/>
    <x v="7"/>
    <x v="0"/>
    <x v="2"/>
    <n v="74"/>
    <n v="800"/>
    <n v="59200"/>
  </r>
  <r>
    <x v="606"/>
    <x v="8"/>
    <x v="1"/>
    <x v="2"/>
    <n v="39"/>
    <n v="800"/>
    <n v="31200"/>
  </r>
  <r>
    <x v="642"/>
    <x v="8"/>
    <x v="2"/>
    <x v="3"/>
    <n v="24"/>
    <n v="950"/>
    <n v="22800"/>
  </r>
  <r>
    <x v="292"/>
    <x v="8"/>
    <x v="2"/>
    <x v="2"/>
    <n v="4"/>
    <n v="800"/>
    <n v="3200"/>
  </r>
  <r>
    <x v="643"/>
    <x v="8"/>
    <x v="5"/>
    <x v="3"/>
    <n v="159"/>
    <n v="950"/>
    <n v="151050"/>
  </r>
  <r>
    <x v="644"/>
    <x v="8"/>
    <x v="5"/>
    <x v="2"/>
    <n v="81"/>
    <n v="800"/>
    <n v="64800"/>
  </r>
  <r>
    <x v="645"/>
    <x v="8"/>
    <x v="3"/>
    <x v="4"/>
    <n v="52"/>
    <n v="450"/>
    <n v="23400"/>
  </r>
  <r>
    <x v="19"/>
    <x v="8"/>
    <x v="5"/>
    <x v="1"/>
    <n v="104"/>
    <n v="1200"/>
    <n v="124800"/>
  </r>
  <r>
    <x v="429"/>
    <x v="8"/>
    <x v="1"/>
    <x v="3"/>
    <n v="15"/>
    <n v="950"/>
    <n v="14250"/>
  </r>
  <r>
    <x v="646"/>
    <x v="8"/>
    <x v="2"/>
    <x v="3"/>
    <n v="4"/>
    <n v="820"/>
    <n v="3280"/>
  </r>
  <r>
    <x v="180"/>
    <x v="8"/>
    <x v="1"/>
    <x v="3"/>
    <n v="9"/>
    <n v="950"/>
    <n v="8550"/>
  </r>
  <r>
    <x v="191"/>
    <x v="8"/>
    <x v="4"/>
    <x v="3"/>
    <n v="49"/>
    <n v="820"/>
    <n v="40180"/>
  </r>
  <r>
    <x v="171"/>
    <x v="8"/>
    <x v="4"/>
    <x v="3"/>
    <n v="86"/>
    <n v="820"/>
    <n v="70520"/>
  </r>
  <r>
    <x v="647"/>
    <x v="8"/>
    <x v="2"/>
    <x v="4"/>
    <n v="1"/>
    <n v="450"/>
    <n v="450"/>
  </r>
  <r>
    <x v="78"/>
    <x v="8"/>
    <x v="1"/>
    <x v="2"/>
    <n v="49"/>
    <n v="800"/>
    <n v="39200"/>
  </r>
  <r>
    <x v="648"/>
    <x v="8"/>
    <x v="0"/>
    <x v="3"/>
    <n v="18"/>
    <n v="950"/>
    <n v="17100"/>
  </r>
  <r>
    <x v="571"/>
    <x v="8"/>
    <x v="3"/>
    <x v="3"/>
    <n v="9"/>
    <n v="950"/>
    <n v="8550"/>
  </r>
  <r>
    <x v="649"/>
    <x v="8"/>
    <x v="0"/>
    <x v="3"/>
    <n v="45"/>
    <n v="820"/>
    <n v="36900"/>
  </r>
  <r>
    <x v="650"/>
    <x v="8"/>
    <x v="3"/>
    <x v="2"/>
    <n v="141"/>
    <n v="800"/>
    <n v="112800"/>
  </r>
  <r>
    <x v="651"/>
    <x v="8"/>
    <x v="0"/>
    <x v="3"/>
    <n v="46"/>
    <n v="820"/>
    <n v="37720"/>
  </r>
  <r>
    <x v="652"/>
    <x v="8"/>
    <x v="5"/>
    <x v="0"/>
    <n v="94"/>
    <n v="650"/>
    <n v="61100"/>
  </r>
  <r>
    <x v="653"/>
    <x v="8"/>
    <x v="5"/>
    <x v="4"/>
    <n v="29"/>
    <n v="450"/>
    <n v="13050"/>
  </r>
  <r>
    <x v="654"/>
    <x v="8"/>
    <x v="4"/>
    <x v="2"/>
    <n v="1"/>
    <n v="800"/>
    <n v="800"/>
  </r>
  <r>
    <x v="655"/>
    <x v="8"/>
    <x v="5"/>
    <x v="1"/>
    <n v="117"/>
    <n v="1200"/>
    <n v="140400"/>
  </r>
  <r>
    <x v="656"/>
    <x v="8"/>
    <x v="4"/>
    <x v="1"/>
    <n v="58"/>
    <n v="1200"/>
    <n v="69600"/>
  </r>
  <r>
    <x v="657"/>
    <x v="8"/>
    <x v="2"/>
    <x v="3"/>
    <n v="9"/>
    <n v="820"/>
    <n v="7380"/>
  </r>
  <r>
    <x v="658"/>
    <x v="8"/>
    <x v="4"/>
    <x v="3"/>
    <n v="136"/>
    <n v="820"/>
    <n v="111520"/>
  </r>
  <r>
    <x v="68"/>
    <x v="8"/>
    <x v="1"/>
    <x v="2"/>
    <n v="8"/>
    <n v="800"/>
    <n v="6400"/>
  </r>
  <r>
    <x v="659"/>
    <x v="8"/>
    <x v="3"/>
    <x v="2"/>
    <n v="150"/>
    <n v="800"/>
    <n v="120000"/>
  </r>
  <r>
    <x v="585"/>
    <x v="8"/>
    <x v="1"/>
    <x v="0"/>
    <n v="11"/>
    <n v="650"/>
    <n v="7150"/>
  </r>
  <r>
    <x v="660"/>
    <x v="8"/>
    <x v="4"/>
    <x v="0"/>
    <n v="83"/>
    <n v="650"/>
    <n v="53950"/>
  </r>
  <r>
    <x v="105"/>
    <x v="8"/>
    <x v="2"/>
    <x v="4"/>
    <n v="16"/>
    <n v="450"/>
    <n v="7200"/>
  </r>
  <r>
    <x v="661"/>
    <x v="8"/>
    <x v="5"/>
    <x v="3"/>
    <n v="14"/>
    <n v="820"/>
    <n v="11480"/>
  </r>
  <r>
    <x v="662"/>
    <x v="8"/>
    <x v="2"/>
    <x v="1"/>
    <n v="3"/>
    <n v="1200"/>
    <n v="3600"/>
  </r>
  <r>
    <x v="663"/>
    <x v="8"/>
    <x v="5"/>
    <x v="4"/>
    <n v="165"/>
    <n v="450"/>
    <n v="74250"/>
  </r>
  <r>
    <x v="664"/>
    <x v="8"/>
    <x v="5"/>
    <x v="2"/>
    <n v="30"/>
    <n v="800"/>
    <n v="24000"/>
  </r>
  <r>
    <x v="310"/>
    <x v="8"/>
    <x v="5"/>
    <x v="0"/>
    <n v="226"/>
    <n v="650"/>
    <n v="146900"/>
  </r>
  <r>
    <x v="371"/>
    <x v="8"/>
    <x v="3"/>
    <x v="3"/>
    <n v="18"/>
    <n v="950"/>
    <n v="17100"/>
  </r>
  <r>
    <x v="190"/>
    <x v="8"/>
    <x v="3"/>
    <x v="1"/>
    <n v="45"/>
    <n v="1200"/>
    <n v="54000"/>
  </r>
  <r>
    <x v="665"/>
    <x v="8"/>
    <x v="1"/>
    <x v="3"/>
    <n v="27"/>
    <n v="950"/>
    <n v="25650"/>
  </r>
  <r>
    <x v="483"/>
    <x v="8"/>
    <x v="5"/>
    <x v="2"/>
    <n v="84"/>
    <n v="800"/>
    <n v="67200"/>
  </r>
  <r>
    <x v="458"/>
    <x v="8"/>
    <x v="0"/>
    <x v="0"/>
    <n v="54"/>
    <n v="650"/>
    <n v="35100"/>
  </r>
  <r>
    <x v="295"/>
    <x v="8"/>
    <x v="4"/>
    <x v="3"/>
    <n v="53"/>
    <n v="820"/>
    <n v="43460"/>
  </r>
  <r>
    <x v="666"/>
    <x v="8"/>
    <x v="2"/>
    <x v="3"/>
    <n v="16"/>
    <n v="950"/>
    <n v="15200"/>
  </r>
  <r>
    <x v="667"/>
    <x v="8"/>
    <x v="4"/>
    <x v="2"/>
    <n v="81"/>
    <n v="800"/>
    <n v="64800"/>
  </r>
  <r>
    <x v="441"/>
    <x v="8"/>
    <x v="5"/>
    <x v="3"/>
    <n v="73"/>
    <n v="950"/>
    <n v="69350"/>
  </r>
  <r>
    <x v="668"/>
    <x v="8"/>
    <x v="1"/>
    <x v="3"/>
    <n v="14"/>
    <n v="950"/>
    <n v="13300"/>
  </r>
  <r>
    <x v="651"/>
    <x v="8"/>
    <x v="0"/>
    <x v="2"/>
    <n v="9"/>
    <n v="800"/>
    <n v="7200"/>
  </r>
  <r>
    <x v="594"/>
    <x v="8"/>
    <x v="1"/>
    <x v="3"/>
    <n v="9"/>
    <n v="820"/>
    <n v="7380"/>
  </r>
  <r>
    <x v="669"/>
    <x v="8"/>
    <x v="1"/>
    <x v="0"/>
    <n v="5"/>
    <n v="650"/>
    <n v="3250"/>
  </r>
  <r>
    <x v="670"/>
    <x v="8"/>
    <x v="0"/>
    <x v="1"/>
    <n v="29"/>
    <n v="1200"/>
    <n v="34800"/>
  </r>
  <r>
    <x v="604"/>
    <x v="8"/>
    <x v="0"/>
    <x v="0"/>
    <n v="11"/>
    <n v="650"/>
    <n v="7150"/>
  </r>
  <r>
    <x v="671"/>
    <x v="8"/>
    <x v="5"/>
    <x v="2"/>
    <n v="91"/>
    <n v="800"/>
    <n v="72800"/>
  </r>
  <r>
    <x v="351"/>
    <x v="8"/>
    <x v="4"/>
    <x v="2"/>
    <n v="201"/>
    <n v="800"/>
    <n v="160800"/>
  </r>
  <r>
    <x v="672"/>
    <x v="8"/>
    <x v="3"/>
    <x v="3"/>
    <n v="56"/>
    <n v="950"/>
    <n v="53200"/>
  </r>
  <r>
    <x v="673"/>
    <x v="9"/>
    <x v="0"/>
    <x v="2"/>
    <n v="56"/>
    <n v="800"/>
    <n v="44800"/>
  </r>
  <r>
    <x v="674"/>
    <x v="9"/>
    <x v="0"/>
    <x v="3"/>
    <n v="147"/>
    <n v="950"/>
    <n v="139650"/>
  </r>
  <r>
    <x v="675"/>
    <x v="9"/>
    <x v="2"/>
    <x v="0"/>
    <n v="14"/>
    <n v="650"/>
    <n v="9100"/>
  </r>
  <r>
    <x v="459"/>
    <x v="9"/>
    <x v="5"/>
    <x v="0"/>
    <n v="88"/>
    <n v="650"/>
    <n v="57200"/>
  </r>
  <r>
    <x v="228"/>
    <x v="9"/>
    <x v="0"/>
    <x v="3"/>
    <n v="51"/>
    <n v="950"/>
    <n v="48450"/>
  </r>
  <r>
    <x v="676"/>
    <x v="9"/>
    <x v="5"/>
    <x v="1"/>
    <n v="166"/>
    <n v="1200"/>
    <n v="199200"/>
  </r>
  <r>
    <x v="677"/>
    <x v="9"/>
    <x v="4"/>
    <x v="3"/>
    <n v="26"/>
    <n v="820"/>
    <n v="21320"/>
  </r>
  <r>
    <x v="678"/>
    <x v="9"/>
    <x v="2"/>
    <x v="1"/>
    <n v="14"/>
    <n v="1200"/>
    <n v="16800"/>
  </r>
  <r>
    <x v="679"/>
    <x v="9"/>
    <x v="5"/>
    <x v="0"/>
    <n v="116"/>
    <n v="650"/>
    <n v="75400"/>
  </r>
  <r>
    <x v="680"/>
    <x v="9"/>
    <x v="0"/>
    <x v="0"/>
    <n v="7"/>
    <n v="650"/>
    <n v="4550"/>
  </r>
  <r>
    <x v="675"/>
    <x v="9"/>
    <x v="5"/>
    <x v="3"/>
    <n v="149"/>
    <n v="950"/>
    <n v="141550"/>
  </r>
  <r>
    <x v="24"/>
    <x v="9"/>
    <x v="3"/>
    <x v="1"/>
    <n v="60"/>
    <n v="1200"/>
    <n v="72000"/>
  </r>
  <r>
    <x v="681"/>
    <x v="9"/>
    <x v="0"/>
    <x v="3"/>
    <n v="46"/>
    <n v="950"/>
    <n v="43700"/>
  </r>
  <r>
    <x v="641"/>
    <x v="9"/>
    <x v="5"/>
    <x v="3"/>
    <n v="18"/>
    <n v="820"/>
    <n v="14760"/>
  </r>
  <r>
    <x v="682"/>
    <x v="9"/>
    <x v="2"/>
    <x v="0"/>
    <n v="5"/>
    <n v="650"/>
    <n v="3250"/>
  </r>
  <r>
    <x v="683"/>
    <x v="9"/>
    <x v="2"/>
    <x v="3"/>
    <n v="6"/>
    <n v="820"/>
    <n v="4920"/>
  </r>
  <r>
    <x v="684"/>
    <x v="9"/>
    <x v="0"/>
    <x v="0"/>
    <n v="89"/>
    <n v="650"/>
    <n v="57850"/>
  </r>
  <r>
    <x v="685"/>
    <x v="9"/>
    <x v="4"/>
    <x v="1"/>
    <n v="131"/>
    <n v="1200"/>
    <n v="157200"/>
  </r>
  <r>
    <x v="668"/>
    <x v="9"/>
    <x v="5"/>
    <x v="2"/>
    <n v="18"/>
    <n v="800"/>
    <n v="14400"/>
  </r>
  <r>
    <x v="686"/>
    <x v="9"/>
    <x v="4"/>
    <x v="4"/>
    <n v="17"/>
    <n v="450"/>
    <n v="7650"/>
  </r>
  <r>
    <x v="687"/>
    <x v="9"/>
    <x v="3"/>
    <x v="4"/>
    <n v="55"/>
    <n v="450"/>
    <n v="24750"/>
  </r>
  <r>
    <x v="688"/>
    <x v="9"/>
    <x v="5"/>
    <x v="0"/>
    <n v="8"/>
    <n v="650"/>
    <n v="5200"/>
  </r>
  <r>
    <x v="689"/>
    <x v="9"/>
    <x v="2"/>
    <x v="1"/>
    <n v="3"/>
    <n v="1200"/>
    <n v="3600"/>
  </r>
  <r>
    <x v="690"/>
    <x v="9"/>
    <x v="2"/>
    <x v="3"/>
    <n v="16"/>
    <n v="820"/>
    <n v="13120"/>
  </r>
  <r>
    <x v="691"/>
    <x v="9"/>
    <x v="4"/>
    <x v="1"/>
    <n v="172"/>
    <n v="1200"/>
    <n v="206400"/>
  </r>
  <r>
    <x v="525"/>
    <x v="9"/>
    <x v="0"/>
    <x v="2"/>
    <n v="118"/>
    <n v="800"/>
    <n v="94400"/>
  </r>
  <r>
    <x v="692"/>
    <x v="9"/>
    <x v="0"/>
    <x v="3"/>
    <n v="38"/>
    <n v="820"/>
    <n v="31160"/>
  </r>
  <r>
    <x v="308"/>
    <x v="9"/>
    <x v="4"/>
    <x v="0"/>
    <n v="19"/>
    <n v="650"/>
    <n v="12350"/>
  </r>
  <r>
    <x v="331"/>
    <x v="9"/>
    <x v="3"/>
    <x v="0"/>
    <n v="4"/>
    <n v="650"/>
    <n v="2600"/>
  </r>
  <r>
    <x v="693"/>
    <x v="9"/>
    <x v="1"/>
    <x v="1"/>
    <n v="3"/>
    <n v="1200"/>
    <n v="3600"/>
  </r>
  <r>
    <x v="694"/>
    <x v="9"/>
    <x v="3"/>
    <x v="0"/>
    <n v="18"/>
    <n v="650"/>
    <n v="11700"/>
  </r>
  <r>
    <x v="695"/>
    <x v="9"/>
    <x v="1"/>
    <x v="3"/>
    <n v="2"/>
    <n v="820"/>
    <n v="1640"/>
  </r>
  <r>
    <x v="6"/>
    <x v="9"/>
    <x v="5"/>
    <x v="3"/>
    <n v="27"/>
    <n v="950"/>
    <n v="25650"/>
  </r>
  <r>
    <x v="696"/>
    <x v="9"/>
    <x v="5"/>
    <x v="0"/>
    <n v="134"/>
    <n v="650"/>
    <n v="87100"/>
  </r>
  <r>
    <x v="686"/>
    <x v="9"/>
    <x v="4"/>
    <x v="4"/>
    <n v="59"/>
    <n v="450"/>
    <n v="26550"/>
  </r>
  <r>
    <x v="697"/>
    <x v="9"/>
    <x v="1"/>
    <x v="1"/>
    <n v="11"/>
    <n v="1200"/>
    <n v="13200"/>
  </r>
  <r>
    <x v="698"/>
    <x v="9"/>
    <x v="5"/>
    <x v="3"/>
    <n v="114"/>
    <n v="820"/>
    <n v="93480"/>
  </r>
  <r>
    <x v="699"/>
    <x v="9"/>
    <x v="0"/>
    <x v="2"/>
    <n v="30"/>
    <n v="800"/>
    <n v="24000"/>
  </r>
  <r>
    <x v="700"/>
    <x v="9"/>
    <x v="0"/>
    <x v="1"/>
    <n v="9"/>
    <n v="1200"/>
    <n v="10800"/>
  </r>
  <r>
    <x v="701"/>
    <x v="9"/>
    <x v="1"/>
    <x v="2"/>
    <n v="7"/>
    <n v="800"/>
    <n v="5600"/>
  </r>
  <r>
    <x v="167"/>
    <x v="9"/>
    <x v="4"/>
    <x v="0"/>
    <n v="175"/>
    <n v="650"/>
    <n v="113750"/>
  </r>
  <r>
    <x v="702"/>
    <x v="9"/>
    <x v="3"/>
    <x v="2"/>
    <n v="44"/>
    <n v="800"/>
    <n v="35200"/>
  </r>
  <r>
    <x v="703"/>
    <x v="9"/>
    <x v="2"/>
    <x v="1"/>
    <n v="1"/>
    <n v="1200"/>
    <n v="1200"/>
  </r>
  <r>
    <x v="380"/>
    <x v="9"/>
    <x v="4"/>
    <x v="2"/>
    <n v="86"/>
    <n v="800"/>
    <n v="68800"/>
  </r>
  <r>
    <x v="145"/>
    <x v="9"/>
    <x v="4"/>
    <x v="4"/>
    <n v="34"/>
    <n v="450"/>
    <n v="15300"/>
  </r>
  <r>
    <x v="704"/>
    <x v="9"/>
    <x v="4"/>
    <x v="2"/>
    <n v="44"/>
    <n v="800"/>
    <n v="35200"/>
  </r>
  <r>
    <x v="80"/>
    <x v="9"/>
    <x v="4"/>
    <x v="4"/>
    <n v="52"/>
    <n v="450"/>
    <n v="23400"/>
  </r>
  <r>
    <x v="705"/>
    <x v="9"/>
    <x v="2"/>
    <x v="1"/>
    <n v="9"/>
    <n v="1200"/>
    <n v="10800"/>
  </r>
  <r>
    <x v="706"/>
    <x v="9"/>
    <x v="1"/>
    <x v="0"/>
    <n v="54"/>
    <n v="650"/>
    <n v="35100"/>
  </r>
  <r>
    <x v="707"/>
    <x v="9"/>
    <x v="4"/>
    <x v="0"/>
    <n v="57"/>
    <n v="650"/>
    <n v="37050"/>
  </r>
  <r>
    <x v="708"/>
    <x v="9"/>
    <x v="4"/>
    <x v="3"/>
    <n v="78"/>
    <n v="820"/>
    <n v="63960"/>
  </r>
  <r>
    <x v="709"/>
    <x v="9"/>
    <x v="2"/>
    <x v="2"/>
    <n v="6"/>
    <n v="800"/>
    <n v="4800"/>
  </r>
  <r>
    <x v="710"/>
    <x v="9"/>
    <x v="3"/>
    <x v="3"/>
    <n v="51"/>
    <n v="950"/>
    <n v="48450"/>
  </r>
  <r>
    <x v="711"/>
    <x v="9"/>
    <x v="4"/>
    <x v="3"/>
    <n v="17"/>
    <n v="820"/>
    <n v="13940"/>
  </r>
  <r>
    <x v="712"/>
    <x v="9"/>
    <x v="0"/>
    <x v="3"/>
    <n v="57"/>
    <n v="820"/>
    <n v="46740"/>
  </r>
  <r>
    <x v="713"/>
    <x v="9"/>
    <x v="1"/>
    <x v="2"/>
    <n v="5"/>
    <n v="800"/>
    <n v="4000"/>
  </r>
  <r>
    <x v="714"/>
    <x v="9"/>
    <x v="3"/>
    <x v="3"/>
    <n v="83"/>
    <n v="820"/>
    <n v="68060"/>
  </r>
  <r>
    <x v="715"/>
    <x v="9"/>
    <x v="4"/>
    <x v="0"/>
    <n v="286"/>
    <n v="650"/>
    <n v="185900"/>
  </r>
  <r>
    <x v="716"/>
    <x v="9"/>
    <x v="0"/>
    <x v="2"/>
    <n v="51"/>
    <n v="800"/>
    <n v="40800"/>
  </r>
  <r>
    <x v="717"/>
    <x v="9"/>
    <x v="3"/>
    <x v="0"/>
    <n v="27"/>
    <n v="650"/>
    <n v="17550"/>
  </r>
  <r>
    <x v="194"/>
    <x v="9"/>
    <x v="4"/>
    <x v="3"/>
    <n v="29"/>
    <n v="820"/>
    <n v="23780"/>
  </r>
  <r>
    <x v="718"/>
    <x v="9"/>
    <x v="3"/>
    <x v="0"/>
    <n v="76"/>
    <n v="650"/>
    <n v="49400"/>
  </r>
  <r>
    <x v="719"/>
    <x v="9"/>
    <x v="2"/>
    <x v="3"/>
    <n v="32"/>
    <n v="820"/>
    <n v="26240"/>
  </r>
  <r>
    <x v="134"/>
    <x v="10"/>
    <x v="0"/>
    <x v="3"/>
    <n v="142"/>
    <n v="820"/>
    <n v="116440"/>
  </r>
  <r>
    <x v="720"/>
    <x v="10"/>
    <x v="5"/>
    <x v="2"/>
    <n v="46"/>
    <n v="800"/>
    <n v="36800"/>
  </r>
  <r>
    <x v="721"/>
    <x v="10"/>
    <x v="1"/>
    <x v="3"/>
    <n v="7"/>
    <n v="820"/>
    <n v="5740"/>
  </r>
  <r>
    <x v="131"/>
    <x v="10"/>
    <x v="3"/>
    <x v="3"/>
    <n v="27"/>
    <n v="820"/>
    <n v="22140"/>
  </r>
  <r>
    <x v="722"/>
    <x v="10"/>
    <x v="0"/>
    <x v="3"/>
    <n v="24"/>
    <n v="820"/>
    <n v="19680"/>
  </r>
  <r>
    <x v="723"/>
    <x v="10"/>
    <x v="5"/>
    <x v="0"/>
    <n v="78"/>
    <n v="650"/>
    <n v="50700"/>
  </r>
  <r>
    <x v="482"/>
    <x v="10"/>
    <x v="0"/>
    <x v="2"/>
    <n v="23"/>
    <n v="800"/>
    <n v="18400"/>
  </r>
  <r>
    <x v="402"/>
    <x v="10"/>
    <x v="3"/>
    <x v="4"/>
    <n v="3"/>
    <n v="450"/>
    <n v="1350"/>
  </r>
  <r>
    <x v="427"/>
    <x v="10"/>
    <x v="0"/>
    <x v="1"/>
    <n v="38"/>
    <n v="1200"/>
    <n v="45600"/>
  </r>
  <r>
    <x v="724"/>
    <x v="10"/>
    <x v="2"/>
    <x v="0"/>
    <n v="4"/>
    <n v="650"/>
    <n v="2600"/>
  </r>
  <r>
    <x v="618"/>
    <x v="10"/>
    <x v="4"/>
    <x v="2"/>
    <n v="267"/>
    <n v="800"/>
    <n v="213600"/>
  </r>
  <r>
    <x v="397"/>
    <x v="10"/>
    <x v="5"/>
    <x v="0"/>
    <n v="188"/>
    <n v="650"/>
    <n v="122200"/>
  </r>
  <r>
    <x v="581"/>
    <x v="10"/>
    <x v="4"/>
    <x v="4"/>
    <n v="96"/>
    <n v="450"/>
    <n v="43200"/>
  </r>
  <r>
    <x v="725"/>
    <x v="10"/>
    <x v="2"/>
    <x v="3"/>
    <n v="1"/>
    <n v="820"/>
    <n v="820"/>
  </r>
  <r>
    <x v="726"/>
    <x v="10"/>
    <x v="1"/>
    <x v="3"/>
    <n v="11"/>
    <n v="820"/>
    <n v="9020"/>
  </r>
  <r>
    <x v="727"/>
    <x v="10"/>
    <x v="1"/>
    <x v="3"/>
    <n v="14"/>
    <n v="820"/>
    <n v="11480"/>
  </r>
  <r>
    <x v="245"/>
    <x v="10"/>
    <x v="0"/>
    <x v="3"/>
    <n v="28"/>
    <n v="950"/>
    <n v="26600"/>
  </r>
  <r>
    <x v="596"/>
    <x v="10"/>
    <x v="2"/>
    <x v="4"/>
    <n v="8"/>
    <n v="450"/>
    <n v="3600"/>
  </r>
  <r>
    <x v="728"/>
    <x v="10"/>
    <x v="5"/>
    <x v="2"/>
    <n v="18"/>
    <n v="800"/>
    <n v="14400"/>
  </r>
  <r>
    <x v="729"/>
    <x v="10"/>
    <x v="5"/>
    <x v="4"/>
    <n v="66"/>
    <n v="450"/>
    <n v="29700"/>
  </r>
  <r>
    <x v="521"/>
    <x v="10"/>
    <x v="5"/>
    <x v="0"/>
    <n v="74"/>
    <n v="650"/>
    <n v="48100"/>
  </r>
  <r>
    <x v="730"/>
    <x v="10"/>
    <x v="1"/>
    <x v="1"/>
    <n v="44"/>
    <n v="1200"/>
    <n v="52800"/>
  </r>
  <r>
    <x v="561"/>
    <x v="10"/>
    <x v="3"/>
    <x v="3"/>
    <n v="26"/>
    <n v="820"/>
    <n v="21320"/>
  </r>
  <r>
    <x v="731"/>
    <x v="10"/>
    <x v="2"/>
    <x v="2"/>
    <n v="46"/>
    <n v="800"/>
    <n v="36800"/>
  </r>
  <r>
    <x v="732"/>
    <x v="10"/>
    <x v="2"/>
    <x v="3"/>
    <n v="4"/>
    <n v="820"/>
    <n v="3280"/>
  </r>
  <r>
    <x v="526"/>
    <x v="10"/>
    <x v="5"/>
    <x v="3"/>
    <n v="96"/>
    <n v="950"/>
    <n v="91200"/>
  </r>
  <r>
    <x v="733"/>
    <x v="10"/>
    <x v="3"/>
    <x v="3"/>
    <n v="166"/>
    <n v="950"/>
    <n v="157700"/>
  </r>
  <r>
    <x v="708"/>
    <x v="10"/>
    <x v="0"/>
    <x v="2"/>
    <n v="7"/>
    <n v="800"/>
    <n v="5600"/>
  </r>
  <r>
    <x v="241"/>
    <x v="10"/>
    <x v="2"/>
    <x v="2"/>
    <n v="6"/>
    <n v="800"/>
    <n v="4800"/>
  </r>
  <r>
    <x v="734"/>
    <x v="10"/>
    <x v="3"/>
    <x v="3"/>
    <n v="44"/>
    <n v="950"/>
    <n v="41800"/>
  </r>
  <r>
    <x v="218"/>
    <x v="10"/>
    <x v="0"/>
    <x v="3"/>
    <n v="70"/>
    <n v="820"/>
    <n v="57400"/>
  </r>
  <r>
    <x v="735"/>
    <x v="10"/>
    <x v="4"/>
    <x v="2"/>
    <n v="116"/>
    <n v="800"/>
    <n v="92800"/>
  </r>
  <r>
    <x v="593"/>
    <x v="10"/>
    <x v="4"/>
    <x v="2"/>
    <n v="149"/>
    <n v="800"/>
    <n v="119200"/>
  </r>
  <r>
    <x v="736"/>
    <x v="10"/>
    <x v="1"/>
    <x v="3"/>
    <n v="40"/>
    <n v="820"/>
    <n v="32800"/>
  </r>
  <r>
    <x v="737"/>
    <x v="10"/>
    <x v="4"/>
    <x v="4"/>
    <n v="199"/>
    <n v="450"/>
    <n v="89550"/>
  </r>
  <r>
    <x v="738"/>
    <x v="10"/>
    <x v="0"/>
    <x v="4"/>
    <n v="69"/>
    <n v="450"/>
    <n v="31050"/>
  </r>
  <r>
    <x v="671"/>
    <x v="10"/>
    <x v="2"/>
    <x v="2"/>
    <n v="18"/>
    <n v="800"/>
    <n v="14400"/>
  </r>
  <r>
    <x v="739"/>
    <x v="10"/>
    <x v="5"/>
    <x v="2"/>
    <n v="52"/>
    <n v="800"/>
    <n v="41600"/>
  </r>
  <r>
    <x v="740"/>
    <x v="10"/>
    <x v="1"/>
    <x v="0"/>
    <n v="46"/>
    <n v="650"/>
    <n v="29900"/>
  </r>
  <r>
    <x v="518"/>
    <x v="10"/>
    <x v="0"/>
    <x v="4"/>
    <n v="11"/>
    <n v="450"/>
    <n v="4950"/>
  </r>
  <r>
    <x v="741"/>
    <x v="10"/>
    <x v="0"/>
    <x v="3"/>
    <n v="110"/>
    <n v="820"/>
    <n v="90200"/>
  </r>
  <r>
    <x v="725"/>
    <x v="10"/>
    <x v="4"/>
    <x v="1"/>
    <n v="131"/>
    <n v="1200"/>
    <n v="157200"/>
  </r>
  <r>
    <x v="310"/>
    <x v="10"/>
    <x v="1"/>
    <x v="3"/>
    <n v="44"/>
    <n v="950"/>
    <n v="41800"/>
  </r>
  <r>
    <x v="171"/>
    <x v="10"/>
    <x v="4"/>
    <x v="1"/>
    <n v="114"/>
    <n v="1200"/>
    <n v="136800"/>
  </r>
  <r>
    <x v="742"/>
    <x v="10"/>
    <x v="3"/>
    <x v="3"/>
    <n v="16"/>
    <n v="820"/>
    <n v="13120"/>
  </r>
  <r>
    <x v="743"/>
    <x v="10"/>
    <x v="2"/>
    <x v="3"/>
    <n v="29"/>
    <n v="820"/>
    <n v="23780"/>
  </r>
  <r>
    <x v="744"/>
    <x v="10"/>
    <x v="2"/>
    <x v="2"/>
    <n v="14"/>
    <n v="800"/>
    <n v="11200"/>
  </r>
  <r>
    <x v="745"/>
    <x v="10"/>
    <x v="3"/>
    <x v="2"/>
    <n v="70"/>
    <n v="800"/>
    <n v="56000"/>
  </r>
  <r>
    <x v="746"/>
    <x v="10"/>
    <x v="0"/>
    <x v="0"/>
    <n v="11"/>
    <n v="650"/>
    <n v="7150"/>
  </r>
  <r>
    <x v="747"/>
    <x v="10"/>
    <x v="1"/>
    <x v="0"/>
    <n v="1"/>
    <n v="650"/>
    <n v="650"/>
  </r>
  <r>
    <x v="719"/>
    <x v="10"/>
    <x v="2"/>
    <x v="1"/>
    <n v="3"/>
    <n v="1200"/>
    <n v="3600"/>
  </r>
  <r>
    <x v="106"/>
    <x v="10"/>
    <x v="2"/>
    <x v="3"/>
    <n v="45"/>
    <n v="820"/>
    <n v="36900"/>
  </r>
  <r>
    <x v="748"/>
    <x v="10"/>
    <x v="1"/>
    <x v="1"/>
    <n v="18"/>
    <n v="1200"/>
    <n v="21600"/>
  </r>
  <r>
    <x v="749"/>
    <x v="10"/>
    <x v="4"/>
    <x v="4"/>
    <n v="106"/>
    <n v="450"/>
    <n v="47700"/>
  </r>
  <r>
    <x v="750"/>
    <x v="10"/>
    <x v="5"/>
    <x v="4"/>
    <n v="15"/>
    <n v="450"/>
    <n v="6750"/>
  </r>
  <r>
    <x v="679"/>
    <x v="10"/>
    <x v="1"/>
    <x v="3"/>
    <n v="9"/>
    <n v="950"/>
    <n v="8550"/>
  </r>
  <r>
    <x v="751"/>
    <x v="10"/>
    <x v="0"/>
    <x v="1"/>
    <n v="109"/>
    <n v="1200"/>
    <n v="130800"/>
  </r>
  <r>
    <x v="41"/>
    <x v="10"/>
    <x v="3"/>
    <x v="3"/>
    <n v="19"/>
    <n v="950"/>
    <n v="18050"/>
  </r>
  <r>
    <x v="487"/>
    <x v="11"/>
    <x v="5"/>
    <x v="4"/>
    <n v="11"/>
    <n v="450"/>
    <n v="4950"/>
  </r>
  <r>
    <x v="752"/>
    <x v="11"/>
    <x v="4"/>
    <x v="0"/>
    <n v="42"/>
    <n v="650"/>
    <n v="27300"/>
  </r>
  <r>
    <x v="129"/>
    <x v="11"/>
    <x v="5"/>
    <x v="2"/>
    <n v="18"/>
    <n v="800"/>
    <n v="14400"/>
  </r>
  <r>
    <x v="753"/>
    <x v="11"/>
    <x v="3"/>
    <x v="2"/>
    <n v="106"/>
    <n v="800"/>
    <n v="84800"/>
  </r>
  <r>
    <x v="754"/>
    <x v="11"/>
    <x v="5"/>
    <x v="3"/>
    <n v="131"/>
    <n v="950"/>
    <n v="124450"/>
  </r>
  <r>
    <x v="755"/>
    <x v="11"/>
    <x v="5"/>
    <x v="3"/>
    <n v="43"/>
    <n v="820"/>
    <n v="35260"/>
  </r>
  <r>
    <x v="713"/>
    <x v="11"/>
    <x v="1"/>
    <x v="2"/>
    <n v="90"/>
    <n v="800"/>
    <n v="72000"/>
  </r>
  <r>
    <x v="290"/>
    <x v="11"/>
    <x v="4"/>
    <x v="3"/>
    <n v="97"/>
    <n v="820"/>
    <n v="79540"/>
  </r>
  <r>
    <x v="756"/>
    <x v="11"/>
    <x v="2"/>
    <x v="3"/>
    <n v="11"/>
    <n v="820"/>
    <n v="9020"/>
  </r>
  <r>
    <x v="130"/>
    <x v="11"/>
    <x v="5"/>
    <x v="0"/>
    <n v="192"/>
    <n v="650"/>
    <n v="124800"/>
  </r>
  <r>
    <x v="757"/>
    <x v="11"/>
    <x v="4"/>
    <x v="4"/>
    <n v="43"/>
    <n v="450"/>
    <n v="19350"/>
  </r>
  <r>
    <x v="758"/>
    <x v="11"/>
    <x v="3"/>
    <x v="1"/>
    <n v="86"/>
    <n v="1200"/>
    <n v="103200"/>
  </r>
  <r>
    <x v="759"/>
    <x v="11"/>
    <x v="4"/>
    <x v="3"/>
    <n v="5"/>
    <n v="950"/>
    <n v="4750"/>
  </r>
  <r>
    <x v="760"/>
    <x v="11"/>
    <x v="3"/>
    <x v="3"/>
    <n v="35"/>
    <n v="950"/>
    <n v="33250"/>
  </r>
  <r>
    <x v="245"/>
    <x v="11"/>
    <x v="1"/>
    <x v="4"/>
    <n v="19"/>
    <n v="450"/>
    <n v="8550"/>
  </r>
  <r>
    <x v="761"/>
    <x v="11"/>
    <x v="5"/>
    <x v="2"/>
    <n v="34"/>
    <n v="800"/>
    <n v="27200"/>
  </r>
  <r>
    <x v="762"/>
    <x v="11"/>
    <x v="0"/>
    <x v="1"/>
    <n v="9"/>
    <n v="1200"/>
    <n v="10800"/>
  </r>
  <r>
    <x v="763"/>
    <x v="11"/>
    <x v="3"/>
    <x v="3"/>
    <n v="6"/>
    <n v="950"/>
    <n v="5700"/>
  </r>
  <r>
    <x v="764"/>
    <x v="11"/>
    <x v="4"/>
    <x v="1"/>
    <n v="77"/>
    <n v="1200"/>
    <n v="92400"/>
  </r>
  <r>
    <x v="765"/>
    <x v="11"/>
    <x v="1"/>
    <x v="1"/>
    <n v="49"/>
    <n v="1200"/>
    <n v="58800"/>
  </r>
  <r>
    <x v="766"/>
    <x v="11"/>
    <x v="5"/>
    <x v="1"/>
    <n v="31"/>
    <n v="1200"/>
    <n v="37200"/>
  </r>
  <r>
    <x v="767"/>
    <x v="11"/>
    <x v="3"/>
    <x v="3"/>
    <n v="22"/>
    <n v="820"/>
    <n v="18040"/>
  </r>
  <r>
    <x v="768"/>
    <x v="11"/>
    <x v="5"/>
    <x v="2"/>
    <n v="121"/>
    <n v="800"/>
    <n v="96800"/>
  </r>
  <r>
    <x v="148"/>
    <x v="11"/>
    <x v="2"/>
    <x v="0"/>
    <n v="11"/>
    <n v="650"/>
    <n v="7150"/>
  </r>
  <r>
    <x v="565"/>
    <x v="11"/>
    <x v="1"/>
    <x v="1"/>
    <n v="55"/>
    <n v="1200"/>
    <n v="66000"/>
  </r>
  <r>
    <x v="89"/>
    <x v="11"/>
    <x v="5"/>
    <x v="3"/>
    <n v="219"/>
    <n v="820"/>
    <n v="179580"/>
  </r>
  <r>
    <x v="118"/>
    <x v="11"/>
    <x v="2"/>
    <x v="0"/>
    <n v="6"/>
    <n v="650"/>
    <n v="3900"/>
  </r>
  <r>
    <x v="664"/>
    <x v="11"/>
    <x v="5"/>
    <x v="3"/>
    <n v="17"/>
    <n v="950"/>
    <n v="16150"/>
  </r>
  <r>
    <x v="561"/>
    <x v="11"/>
    <x v="0"/>
    <x v="3"/>
    <n v="18"/>
    <n v="950"/>
    <n v="17100"/>
  </r>
  <r>
    <x v="769"/>
    <x v="11"/>
    <x v="4"/>
    <x v="3"/>
    <n v="26"/>
    <n v="950"/>
    <n v="24700"/>
  </r>
  <r>
    <x v="770"/>
    <x v="11"/>
    <x v="1"/>
    <x v="1"/>
    <n v="3"/>
    <n v="1200"/>
    <n v="3600"/>
  </r>
  <r>
    <x v="771"/>
    <x v="11"/>
    <x v="1"/>
    <x v="3"/>
    <n v="27"/>
    <n v="820"/>
    <n v="22140"/>
  </r>
  <r>
    <x v="772"/>
    <x v="11"/>
    <x v="2"/>
    <x v="3"/>
    <n v="8"/>
    <n v="950"/>
    <n v="7600"/>
  </r>
  <r>
    <x v="773"/>
    <x v="11"/>
    <x v="0"/>
    <x v="2"/>
    <n v="56"/>
    <n v="800"/>
    <n v="44800"/>
  </r>
  <r>
    <x v="774"/>
    <x v="11"/>
    <x v="3"/>
    <x v="3"/>
    <n v="32"/>
    <n v="950"/>
    <n v="30400"/>
  </r>
  <r>
    <x v="246"/>
    <x v="11"/>
    <x v="3"/>
    <x v="2"/>
    <n v="25"/>
    <n v="800"/>
    <n v="20000"/>
  </r>
  <r>
    <x v="41"/>
    <x v="11"/>
    <x v="1"/>
    <x v="0"/>
    <n v="4"/>
    <n v="650"/>
    <n v="2600"/>
  </r>
  <r>
    <x v="775"/>
    <x v="11"/>
    <x v="2"/>
    <x v="1"/>
    <n v="16"/>
    <n v="1200"/>
    <n v="19200"/>
  </r>
  <r>
    <x v="648"/>
    <x v="11"/>
    <x v="3"/>
    <x v="0"/>
    <n v="68"/>
    <n v="650"/>
    <n v="44200"/>
  </r>
  <r>
    <x v="311"/>
    <x v="11"/>
    <x v="3"/>
    <x v="0"/>
    <n v="68"/>
    <n v="650"/>
    <n v="44200"/>
  </r>
  <r>
    <x v="466"/>
    <x v="11"/>
    <x v="4"/>
    <x v="2"/>
    <n v="31"/>
    <n v="800"/>
    <n v="24800"/>
  </r>
  <r>
    <x v="357"/>
    <x v="11"/>
    <x v="1"/>
    <x v="3"/>
    <n v="27"/>
    <n v="950"/>
    <n v="25650"/>
  </r>
  <r>
    <x v="761"/>
    <x v="11"/>
    <x v="5"/>
    <x v="3"/>
    <n v="84"/>
    <n v="950"/>
    <n v="79800"/>
  </r>
  <r>
    <x v="345"/>
    <x v="11"/>
    <x v="3"/>
    <x v="3"/>
    <n v="58"/>
    <n v="820"/>
    <n v="47560"/>
  </r>
  <r>
    <x v="776"/>
    <x v="11"/>
    <x v="3"/>
    <x v="3"/>
    <n v="6"/>
    <n v="820"/>
    <n v="4920"/>
  </r>
  <r>
    <x v="348"/>
    <x v="11"/>
    <x v="4"/>
    <x v="2"/>
    <n v="57"/>
    <n v="800"/>
    <n v="45600"/>
  </r>
  <r>
    <x v="725"/>
    <x v="11"/>
    <x v="5"/>
    <x v="2"/>
    <n v="27"/>
    <n v="800"/>
    <n v="21600"/>
  </r>
  <r>
    <x v="333"/>
    <x v="11"/>
    <x v="0"/>
    <x v="2"/>
    <n v="149"/>
    <n v="800"/>
    <n v="119200"/>
  </r>
  <r>
    <x v="330"/>
    <x v="11"/>
    <x v="4"/>
    <x v="4"/>
    <n v="33"/>
    <n v="450"/>
    <n v="14850"/>
  </r>
  <r>
    <x v="341"/>
    <x v="11"/>
    <x v="4"/>
    <x v="0"/>
    <n v="66"/>
    <n v="650"/>
    <n v="42900"/>
  </r>
  <r>
    <x v="777"/>
    <x v="11"/>
    <x v="4"/>
    <x v="2"/>
    <n v="212"/>
    <n v="800"/>
    <n v="169600"/>
  </r>
  <r>
    <x v="778"/>
    <x v="11"/>
    <x v="1"/>
    <x v="2"/>
    <n v="50"/>
    <n v="800"/>
    <n v="40000"/>
  </r>
  <r>
    <x v="779"/>
    <x v="11"/>
    <x v="4"/>
    <x v="1"/>
    <n v="43"/>
    <n v="1200"/>
    <n v="51600"/>
  </r>
  <r>
    <x v="421"/>
    <x v="11"/>
    <x v="4"/>
    <x v="0"/>
    <n v="5"/>
    <n v="650"/>
    <n v="3250"/>
  </r>
  <r>
    <x v="780"/>
    <x v="11"/>
    <x v="0"/>
    <x v="4"/>
    <n v="36"/>
    <n v="450"/>
    <n v="16200"/>
  </r>
  <r>
    <x v="781"/>
    <x v="11"/>
    <x v="2"/>
    <x v="1"/>
    <n v="14"/>
    <n v="1200"/>
    <n v="16800"/>
  </r>
  <r>
    <x v="782"/>
    <x v="11"/>
    <x v="3"/>
    <x v="2"/>
    <n v="49"/>
    <n v="800"/>
    <n v="39200"/>
  </r>
  <r>
    <x v="783"/>
    <x v="11"/>
    <x v="0"/>
    <x v="3"/>
    <n v="24"/>
    <n v="950"/>
    <n v="22800"/>
  </r>
  <r>
    <x v="531"/>
    <x v="11"/>
    <x v="5"/>
    <x v="3"/>
    <n v="121"/>
    <n v="820"/>
    <n v="99220"/>
  </r>
  <r>
    <x v="493"/>
    <x v="11"/>
    <x v="4"/>
    <x v="4"/>
    <n v="47"/>
    <n v="450"/>
    <n v="21150"/>
  </r>
  <r>
    <x v="784"/>
    <x v="11"/>
    <x v="5"/>
    <x v="3"/>
    <n v="57"/>
    <n v="820"/>
    <n v="46740"/>
  </r>
  <r>
    <x v="785"/>
    <x v="11"/>
    <x v="2"/>
    <x v="0"/>
    <n v="36"/>
    <n v="650"/>
    <n v="23400"/>
  </r>
  <r>
    <x v="786"/>
    <x v="11"/>
    <x v="2"/>
    <x v="3"/>
    <n v="37"/>
    <n v="950"/>
    <n v="35150"/>
  </r>
  <r>
    <x v="787"/>
    <x v="11"/>
    <x v="0"/>
    <x v="2"/>
    <n v="29"/>
    <n v="800"/>
    <n v="23200"/>
  </r>
  <r>
    <x v="339"/>
    <x v="11"/>
    <x v="4"/>
    <x v="3"/>
    <n v="212"/>
    <n v="820"/>
    <n v="173840"/>
  </r>
  <r>
    <x v="232"/>
    <x v="11"/>
    <x v="0"/>
    <x v="2"/>
    <n v="1"/>
    <n v="800"/>
    <n v="800"/>
  </r>
  <r>
    <x v="788"/>
    <x v="11"/>
    <x v="0"/>
    <x v="3"/>
    <n v="53"/>
    <n v="820"/>
    <n v="43460"/>
  </r>
  <r>
    <x v="581"/>
    <x v="11"/>
    <x v="3"/>
    <x v="2"/>
    <n v="133"/>
    <n v="800"/>
    <n v="106400"/>
  </r>
  <r>
    <x v="789"/>
    <x v="11"/>
    <x v="0"/>
    <x v="3"/>
    <n v="122"/>
    <n v="950"/>
    <n v="115900"/>
  </r>
  <r>
    <x v="790"/>
    <x v="11"/>
    <x v="3"/>
    <x v="2"/>
    <n v="23"/>
    <n v="800"/>
    <n v="18400"/>
  </r>
  <r>
    <x v="276"/>
    <x v="11"/>
    <x v="0"/>
    <x v="0"/>
    <n v="13"/>
    <n v="650"/>
    <n v="8450"/>
  </r>
  <r>
    <x v="237"/>
    <x v="11"/>
    <x v="0"/>
    <x v="1"/>
    <n v="9"/>
    <n v="1200"/>
    <n v="10800"/>
  </r>
  <r>
    <x v="791"/>
    <x v="11"/>
    <x v="0"/>
    <x v="2"/>
    <n v="18"/>
    <n v="800"/>
    <n v="14400"/>
  </r>
  <r>
    <x v="792"/>
    <x v="11"/>
    <x v="4"/>
    <x v="2"/>
    <n v="199"/>
    <n v="800"/>
    <n v="159200"/>
  </r>
  <r>
    <x v="793"/>
    <x v="11"/>
    <x v="2"/>
    <x v="2"/>
    <n v="13"/>
    <n v="800"/>
    <n v="10400"/>
  </r>
  <r>
    <x v="794"/>
    <x v="12"/>
    <x v="5"/>
    <x v="3"/>
    <n v="37"/>
    <n v="820"/>
    <n v="30340"/>
  </r>
  <r>
    <x v="795"/>
    <x v="12"/>
    <x v="3"/>
    <x v="4"/>
    <n v="23"/>
    <n v="450"/>
    <n v="10350"/>
  </r>
  <r>
    <x v="248"/>
    <x v="12"/>
    <x v="1"/>
    <x v="2"/>
    <n v="51"/>
    <n v="800"/>
    <n v="40800"/>
  </r>
  <r>
    <x v="796"/>
    <x v="12"/>
    <x v="1"/>
    <x v="2"/>
    <n v="56"/>
    <n v="800"/>
    <n v="44800"/>
  </r>
  <r>
    <x v="710"/>
    <x v="12"/>
    <x v="4"/>
    <x v="3"/>
    <n v="173"/>
    <n v="820"/>
    <n v="141860"/>
  </r>
  <r>
    <x v="161"/>
    <x v="12"/>
    <x v="1"/>
    <x v="1"/>
    <n v="5"/>
    <n v="1200"/>
    <n v="6000"/>
  </r>
  <r>
    <x v="407"/>
    <x v="12"/>
    <x v="0"/>
    <x v="0"/>
    <n v="78"/>
    <n v="650"/>
    <n v="50700"/>
  </r>
  <r>
    <x v="765"/>
    <x v="12"/>
    <x v="5"/>
    <x v="1"/>
    <n v="50"/>
    <n v="1200"/>
    <n v="60000"/>
  </r>
  <r>
    <x v="797"/>
    <x v="12"/>
    <x v="2"/>
    <x v="0"/>
    <n v="5"/>
    <n v="650"/>
    <n v="3250"/>
  </r>
  <r>
    <x v="199"/>
    <x v="12"/>
    <x v="1"/>
    <x v="0"/>
    <n v="23"/>
    <n v="650"/>
    <n v="14950"/>
  </r>
  <r>
    <x v="798"/>
    <x v="12"/>
    <x v="3"/>
    <x v="3"/>
    <n v="62"/>
    <n v="950"/>
    <n v="58900"/>
  </r>
  <r>
    <x v="799"/>
    <x v="12"/>
    <x v="4"/>
    <x v="4"/>
    <n v="44"/>
    <n v="450"/>
    <n v="19800"/>
  </r>
  <r>
    <x v="800"/>
    <x v="12"/>
    <x v="0"/>
    <x v="3"/>
    <n v="29"/>
    <n v="820"/>
    <n v="23780"/>
  </r>
  <r>
    <x v="22"/>
    <x v="12"/>
    <x v="3"/>
    <x v="2"/>
    <n v="35"/>
    <n v="800"/>
    <n v="28000"/>
  </r>
  <r>
    <x v="461"/>
    <x v="12"/>
    <x v="5"/>
    <x v="1"/>
    <n v="42"/>
    <n v="1200"/>
    <n v="50400"/>
  </r>
  <r>
    <x v="801"/>
    <x v="12"/>
    <x v="0"/>
    <x v="1"/>
    <n v="56"/>
    <n v="1200"/>
    <n v="67200"/>
  </r>
  <r>
    <x v="789"/>
    <x v="12"/>
    <x v="3"/>
    <x v="1"/>
    <n v="93"/>
    <n v="1200"/>
    <n v="111600"/>
  </r>
  <r>
    <x v="802"/>
    <x v="12"/>
    <x v="4"/>
    <x v="3"/>
    <n v="22"/>
    <n v="950"/>
    <n v="20900"/>
  </r>
  <r>
    <x v="803"/>
    <x v="12"/>
    <x v="1"/>
    <x v="3"/>
    <n v="1"/>
    <n v="820"/>
    <n v="820"/>
  </r>
  <r>
    <x v="804"/>
    <x v="12"/>
    <x v="4"/>
    <x v="3"/>
    <n v="139"/>
    <n v="820"/>
    <n v="113980"/>
  </r>
  <r>
    <x v="504"/>
    <x v="12"/>
    <x v="5"/>
    <x v="2"/>
    <n v="44"/>
    <n v="800"/>
    <n v="35200"/>
  </r>
  <r>
    <x v="805"/>
    <x v="12"/>
    <x v="2"/>
    <x v="2"/>
    <n v="18"/>
    <n v="800"/>
    <n v="14400"/>
  </r>
  <r>
    <x v="806"/>
    <x v="12"/>
    <x v="2"/>
    <x v="1"/>
    <n v="5"/>
    <n v="1200"/>
    <n v="6000"/>
  </r>
  <r>
    <x v="807"/>
    <x v="12"/>
    <x v="2"/>
    <x v="1"/>
    <n v="1"/>
    <n v="1200"/>
    <n v="1200"/>
  </r>
  <r>
    <x v="808"/>
    <x v="12"/>
    <x v="3"/>
    <x v="2"/>
    <n v="58"/>
    <n v="800"/>
    <n v="46400"/>
  </r>
  <r>
    <x v="809"/>
    <x v="12"/>
    <x v="4"/>
    <x v="2"/>
    <n v="15"/>
    <n v="800"/>
    <n v="12000"/>
  </r>
  <r>
    <x v="810"/>
    <x v="12"/>
    <x v="0"/>
    <x v="3"/>
    <n v="28"/>
    <n v="820"/>
    <n v="22960"/>
  </r>
  <r>
    <x v="811"/>
    <x v="12"/>
    <x v="4"/>
    <x v="2"/>
    <n v="97"/>
    <n v="800"/>
    <n v="77600"/>
  </r>
  <r>
    <x v="812"/>
    <x v="12"/>
    <x v="5"/>
    <x v="2"/>
    <n v="211"/>
    <n v="800"/>
    <n v="168800"/>
  </r>
  <r>
    <x v="435"/>
    <x v="12"/>
    <x v="0"/>
    <x v="3"/>
    <n v="3"/>
    <n v="820"/>
    <n v="2460"/>
  </r>
  <r>
    <x v="813"/>
    <x v="12"/>
    <x v="5"/>
    <x v="1"/>
    <n v="81"/>
    <n v="1200"/>
    <n v="97200"/>
  </r>
  <r>
    <x v="814"/>
    <x v="12"/>
    <x v="0"/>
    <x v="3"/>
    <n v="79"/>
    <n v="820"/>
    <n v="64780"/>
  </r>
  <r>
    <x v="641"/>
    <x v="12"/>
    <x v="0"/>
    <x v="2"/>
    <n v="52"/>
    <n v="800"/>
    <n v="41600"/>
  </r>
  <r>
    <x v="815"/>
    <x v="12"/>
    <x v="5"/>
    <x v="2"/>
    <n v="1"/>
    <n v="800"/>
    <n v="800"/>
  </r>
  <r>
    <x v="769"/>
    <x v="12"/>
    <x v="0"/>
    <x v="0"/>
    <n v="6"/>
    <n v="650"/>
    <n v="3900"/>
  </r>
  <r>
    <x v="816"/>
    <x v="12"/>
    <x v="5"/>
    <x v="3"/>
    <n v="25"/>
    <n v="820"/>
    <n v="20500"/>
  </r>
  <r>
    <x v="817"/>
    <x v="12"/>
    <x v="5"/>
    <x v="2"/>
    <n v="115"/>
    <n v="800"/>
    <n v="92000"/>
  </r>
  <r>
    <x v="818"/>
    <x v="12"/>
    <x v="3"/>
    <x v="3"/>
    <n v="1"/>
    <n v="820"/>
    <n v="820"/>
  </r>
  <r>
    <x v="139"/>
    <x v="12"/>
    <x v="1"/>
    <x v="3"/>
    <n v="55"/>
    <n v="950"/>
    <n v="52250"/>
  </r>
  <r>
    <x v="241"/>
    <x v="12"/>
    <x v="2"/>
    <x v="3"/>
    <n v="4"/>
    <n v="950"/>
    <n v="3800"/>
  </r>
  <r>
    <x v="819"/>
    <x v="12"/>
    <x v="1"/>
    <x v="0"/>
    <n v="21"/>
    <n v="650"/>
    <n v="13650"/>
  </r>
  <r>
    <x v="8"/>
    <x v="12"/>
    <x v="5"/>
    <x v="1"/>
    <n v="14"/>
    <n v="1200"/>
    <n v="16800"/>
  </r>
  <r>
    <x v="820"/>
    <x v="12"/>
    <x v="5"/>
    <x v="3"/>
    <n v="144"/>
    <n v="820"/>
    <n v="118080"/>
  </r>
  <r>
    <x v="529"/>
    <x v="12"/>
    <x v="4"/>
    <x v="1"/>
    <n v="173"/>
    <n v="1200"/>
    <n v="207600"/>
  </r>
  <r>
    <x v="821"/>
    <x v="12"/>
    <x v="5"/>
    <x v="4"/>
    <n v="98"/>
    <n v="450"/>
    <n v="44100"/>
  </r>
  <r>
    <x v="822"/>
    <x v="12"/>
    <x v="0"/>
    <x v="2"/>
    <n v="35"/>
    <n v="800"/>
    <n v="28000"/>
  </r>
  <r>
    <x v="81"/>
    <x v="12"/>
    <x v="2"/>
    <x v="3"/>
    <n v="43"/>
    <n v="820"/>
    <n v="35260"/>
  </r>
  <r>
    <x v="823"/>
    <x v="12"/>
    <x v="2"/>
    <x v="3"/>
    <n v="1"/>
    <n v="820"/>
    <n v="820"/>
  </r>
  <r>
    <x v="163"/>
    <x v="13"/>
    <x v="5"/>
    <x v="1"/>
    <n v="114"/>
    <n v="1200"/>
    <n v="136800"/>
  </r>
  <r>
    <x v="361"/>
    <x v="13"/>
    <x v="5"/>
    <x v="2"/>
    <n v="47"/>
    <n v="800"/>
    <n v="37600"/>
  </r>
  <r>
    <x v="797"/>
    <x v="13"/>
    <x v="1"/>
    <x v="3"/>
    <n v="79"/>
    <n v="820"/>
    <n v="64780"/>
  </r>
  <r>
    <x v="824"/>
    <x v="13"/>
    <x v="4"/>
    <x v="4"/>
    <n v="31"/>
    <n v="450"/>
    <n v="13950"/>
  </r>
  <r>
    <x v="825"/>
    <x v="13"/>
    <x v="1"/>
    <x v="2"/>
    <n v="10"/>
    <n v="800"/>
    <n v="8000"/>
  </r>
  <r>
    <x v="826"/>
    <x v="13"/>
    <x v="1"/>
    <x v="3"/>
    <n v="3"/>
    <n v="820"/>
    <n v="2460"/>
  </r>
  <r>
    <x v="827"/>
    <x v="13"/>
    <x v="5"/>
    <x v="1"/>
    <n v="129"/>
    <n v="1200"/>
    <n v="154800"/>
  </r>
  <r>
    <x v="504"/>
    <x v="13"/>
    <x v="0"/>
    <x v="3"/>
    <n v="2"/>
    <n v="820"/>
    <n v="1640"/>
  </r>
  <r>
    <x v="828"/>
    <x v="13"/>
    <x v="1"/>
    <x v="3"/>
    <n v="2"/>
    <n v="950"/>
    <n v="1900"/>
  </r>
  <r>
    <x v="829"/>
    <x v="13"/>
    <x v="2"/>
    <x v="1"/>
    <n v="9"/>
    <n v="1200"/>
    <n v="10800"/>
  </r>
  <r>
    <x v="15"/>
    <x v="13"/>
    <x v="2"/>
    <x v="0"/>
    <n v="17"/>
    <n v="650"/>
    <n v="11050"/>
  </r>
  <r>
    <x v="830"/>
    <x v="13"/>
    <x v="4"/>
    <x v="0"/>
    <n v="39"/>
    <n v="650"/>
    <n v="25350"/>
  </r>
  <r>
    <x v="69"/>
    <x v="13"/>
    <x v="2"/>
    <x v="3"/>
    <n v="13"/>
    <n v="820"/>
    <n v="10660"/>
  </r>
  <r>
    <x v="831"/>
    <x v="13"/>
    <x v="0"/>
    <x v="2"/>
    <n v="28"/>
    <n v="800"/>
    <n v="22400"/>
  </r>
  <r>
    <x v="832"/>
    <x v="13"/>
    <x v="1"/>
    <x v="0"/>
    <n v="30"/>
    <n v="650"/>
    <n v="19500"/>
  </r>
  <r>
    <x v="833"/>
    <x v="13"/>
    <x v="3"/>
    <x v="2"/>
    <n v="3"/>
    <n v="800"/>
    <n v="2400"/>
  </r>
  <r>
    <x v="834"/>
    <x v="13"/>
    <x v="2"/>
    <x v="3"/>
    <n v="6"/>
    <n v="950"/>
    <n v="5700"/>
  </r>
  <r>
    <x v="509"/>
    <x v="13"/>
    <x v="4"/>
    <x v="3"/>
    <n v="41"/>
    <n v="950"/>
    <n v="38950"/>
  </r>
  <r>
    <x v="487"/>
    <x v="13"/>
    <x v="0"/>
    <x v="2"/>
    <n v="8"/>
    <n v="800"/>
    <n v="6400"/>
  </r>
  <r>
    <x v="835"/>
    <x v="13"/>
    <x v="5"/>
    <x v="0"/>
    <n v="82"/>
    <n v="650"/>
    <n v="53300"/>
  </r>
  <r>
    <x v="682"/>
    <x v="13"/>
    <x v="5"/>
    <x v="3"/>
    <n v="44"/>
    <n v="820"/>
    <n v="36080"/>
  </r>
  <r>
    <x v="836"/>
    <x v="13"/>
    <x v="2"/>
    <x v="4"/>
    <n v="4"/>
    <n v="450"/>
    <n v="1800"/>
  </r>
  <r>
    <x v="197"/>
    <x v="13"/>
    <x v="4"/>
    <x v="2"/>
    <n v="12"/>
    <n v="800"/>
    <n v="9600"/>
  </r>
  <r>
    <x v="837"/>
    <x v="13"/>
    <x v="3"/>
    <x v="3"/>
    <n v="13"/>
    <n v="950"/>
    <n v="12350"/>
  </r>
  <r>
    <x v="261"/>
    <x v="13"/>
    <x v="5"/>
    <x v="3"/>
    <n v="107"/>
    <n v="820"/>
    <n v="87740"/>
  </r>
  <r>
    <x v="838"/>
    <x v="13"/>
    <x v="4"/>
    <x v="3"/>
    <n v="273"/>
    <n v="950"/>
    <n v="259350"/>
  </r>
  <r>
    <x v="736"/>
    <x v="13"/>
    <x v="1"/>
    <x v="2"/>
    <n v="29"/>
    <n v="800"/>
    <n v="23200"/>
  </r>
  <r>
    <x v="839"/>
    <x v="13"/>
    <x v="2"/>
    <x v="3"/>
    <n v="22"/>
    <n v="820"/>
    <n v="18040"/>
  </r>
  <r>
    <x v="840"/>
    <x v="13"/>
    <x v="2"/>
    <x v="3"/>
    <n v="22"/>
    <n v="950"/>
    <n v="20900"/>
  </r>
  <r>
    <x v="344"/>
    <x v="13"/>
    <x v="0"/>
    <x v="4"/>
    <n v="33"/>
    <n v="450"/>
    <n v="14850"/>
  </r>
  <r>
    <x v="266"/>
    <x v="13"/>
    <x v="0"/>
    <x v="3"/>
    <n v="48"/>
    <n v="820"/>
    <n v="39360"/>
  </r>
  <r>
    <x v="522"/>
    <x v="13"/>
    <x v="4"/>
    <x v="2"/>
    <n v="115"/>
    <n v="800"/>
    <n v="92000"/>
  </r>
  <r>
    <x v="841"/>
    <x v="13"/>
    <x v="1"/>
    <x v="2"/>
    <n v="34"/>
    <n v="800"/>
    <n v="27200"/>
  </r>
  <r>
    <x v="842"/>
    <x v="13"/>
    <x v="0"/>
    <x v="3"/>
    <n v="24"/>
    <n v="950"/>
    <n v="22800"/>
  </r>
  <r>
    <x v="402"/>
    <x v="13"/>
    <x v="5"/>
    <x v="2"/>
    <n v="134"/>
    <n v="800"/>
    <n v="107200"/>
  </r>
  <r>
    <x v="772"/>
    <x v="13"/>
    <x v="5"/>
    <x v="0"/>
    <n v="149"/>
    <n v="650"/>
    <n v="96850"/>
  </r>
  <r>
    <x v="62"/>
    <x v="13"/>
    <x v="0"/>
    <x v="2"/>
    <n v="6"/>
    <n v="800"/>
    <n v="4800"/>
  </r>
  <r>
    <x v="707"/>
    <x v="13"/>
    <x v="1"/>
    <x v="3"/>
    <n v="19"/>
    <n v="820"/>
    <n v="15580"/>
  </r>
  <r>
    <x v="577"/>
    <x v="13"/>
    <x v="0"/>
    <x v="0"/>
    <n v="41"/>
    <n v="650"/>
    <n v="26650"/>
  </r>
  <r>
    <x v="281"/>
    <x v="13"/>
    <x v="2"/>
    <x v="4"/>
    <n v="11"/>
    <n v="450"/>
    <n v="4950"/>
  </r>
  <r>
    <x v="3"/>
    <x v="13"/>
    <x v="5"/>
    <x v="3"/>
    <n v="123"/>
    <n v="950"/>
    <n v="116850"/>
  </r>
  <r>
    <x v="251"/>
    <x v="13"/>
    <x v="2"/>
    <x v="3"/>
    <n v="4"/>
    <n v="820"/>
    <n v="3280"/>
  </r>
  <r>
    <x v="544"/>
    <x v="13"/>
    <x v="3"/>
    <x v="1"/>
    <n v="151"/>
    <n v="1200"/>
    <n v="181200"/>
  </r>
  <r>
    <x v="843"/>
    <x v="13"/>
    <x v="2"/>
    <x v="1"/>
    <n v="16"/>
    <n v="1200"/>
    <n v="19200"/>
  </r>
  <r>
    <x v="840"/>
    <x v="13"/>
    <x v="3"/>
    <x v="3"/>
    <n v="15"/>
    <n v="820"/>
    <n v="12300"/>
  </r>
  <r>
    <x v="721"/>
    <x v="13"/>
    <x v="0"/>
    <x v="2"/>
    <n v="41"/>
    <n v="800"/>
    <n v="32800"/>
  </r>
  <r>
    <x v="419"/>
    <x v="13"/>
    <x v="0"/>
    <x v="4"/>
    <n v="58"/>
    <n v="450"/>
    <n v="26100"/>
  </r>
  <r>
    <x v="844"/>
    <x v="13"/>
    <x v="0"/>
    <x v="2"/>
    <n v="2"/>
    <n v="800"/>
    <n v="1600"/>
  </r>
  <r>
    <x v="845"/>
    <x v="13"/>
    <x v="2"/>
    <x v="0"/>
    <n v="1"/>
    <n v="650"/>
    <n v="650"/>
  </r>
  <r>
    <x v="846"/>
    <x v="13"/>
    <x v="2"/>
    <x v="0"/>
    <n v="7"/>
    <n v="650"/>
    <n v="4550"/>
  </r>
  <r>
    <x v="847"/>
    <x v="13"/>
    <x v="5"/>
    <x v="2"/>
    <n v="78"/>
    <n v="800"/>
    <n v="62400"/>
  </r>
  <r>
    <x v="848"/>
    <x v="13"/>
    <x v="4"/>
    <x v="3"/>
    <n v="27"/>
    <n v="950"/>
    <n v="25650"/>
  </r>
  <r>
    <x v="849"/>
    <x v="13"/>
    <x v="2"/>
    <x v="3"/>
    <n v="11"/>
    <n v="820"/>
    <n v="9020"/>
  </r>
  <r>
    <x v="850"/>
    <x v="13"/>
    <x v="2"/>
    <x v="1"/>
    <n v="14"/>
    <n v="1200"/>
    <n v="16800"/>
  </r>
  <r>
    <x v="851"/>
    <x v="13"/>
    <x v="0"/>
    <x v="3"/>
    <n v="71"/>
    <n v="820"/>
    <n v="58220"/>
  </r>
  <r>
    <x v="852"/>
    <x v="13"/>
    <x v="2"/>
    <x v="3"/>
    <n v="11"/>
    <n v="820"/>
    <n v="9020"/>
  </r>
  <r>
    <x v="853"/>
    <x v="13"/>
    <x v="0"/>
    <x v="2"/>
    <n v="23"/>
    <n v="800"/>
    <n v="18400"/>
  </r>
  <r>
    <x v="854"/>
    <x v="13"/>
    <x v="4"/>
    <x v="2"/>
    <n v="93"/>
    <n v="800"/>
    <n v="74400"/>
  </r>
  <r>
    <x v="855"/>
    <x v="13"/>
    <x v="0"/>
    <x v="4"/>
    <n v="26"/>
    <n v="450"/>
    <n v="11700"/>
  </r>
  <r>
    <x v="856"/>
    <x v="13"/>
    <x v="2"/>
    <x v="3"/>
    <n v="2"/>
    <n v="820"/>
    <n v="1640"/>
  </r>
  <r>
    <x v="10"/>
    <x v="13"/>
    <x v="4"/>
    <x v="4"/>
    <n v="88"/>
    <n v="450"/>
    <n v="39600"/>
  </r>
  <r>
    <x v="857"/>
    <x v="13"/>
    <x v="0"/>
    <x v="4"/>
    <n v="96"/>
    <n v="450"/>
    <n v="43200"/>
  </r>
  <r>
    <x v="80"/>
    <x v="13"/>
    <x v="1"/>
    <x v="0"/>
    <n v="3"/>
    <n v="650"/>
    <n v="1950"/>
  </r>
  <r>
    <x v="858"/>
    <x v="13"/>
    <x v="2"/>
    <x v="3"/>
    <n v="20"/>
    <n v="950"/>
    <n v="19000"/>
  </r>
  <r>
    <x v="859"/>
    <x v="14"/>
    <x v="0"/>
    <x v="2"/>
    <n v="1"/>
    <n v="800"/>
    <n v="800"/>
  </r>
  <r>
    <x v="37"/>
    <x v="14"/>
    <x v="1"/>
    <x v="1"/>
    <n v="57"/>
    <n v="1200"/>
    <n v="68400"/>
  </r>
  <r>
    <x v="860"/>
    <x v="14"/>
    <x v="5"/>
    <x v="2"/>
    <n v="63"/>
    <n v="800"/>
    <n v="50400"/>
  </r>
  <r>
    <x v="861"/>
    <x v="14"/>
    <x v="3"/>
    <x v="3"/>
    <n v="148"/>
    <n v="950"/>
    <n v="140600"/>
  </r>
  <r>
    <x v="613"/>
    <x v="14"/>
    <x v="2"/>
    <x v="1"/>
    <n v="10"/>
    <n v="1200"/>
    <n v="12000"/>
  </r>
  <r>
    <x v="193"/>
    <x v="14"/>
    <x v="1"/>
    <x v="1"/>
    <n v="95"/>
    <n v="1200"/>
    <n v="114000"/>
  </r>
  <r>
    <x v="862"/>
    <x v="14"/>
    <x v="1"/>
    <x v="2"/>
    <n v="18"/>
    <n v="800"/>
    <n v="14400"/>
  </r>
  <r>
    <x v="863"/>
    <x v="14"/>
    <x v="0"/>
    <x v="1"/>
    <n v="19"/>
    <n v="1200"/>
    <n v="22800"/>
  </r>
  <r>
    <x v="478"/>
    <x v="14"/>
    <x v="3"/>
    <x v="1"/>
    <n v="50"/>
    <n v="1200"/>
    <n v="60000"/>
  </r>
  <r>
    <x v="667"/>
    <x v="14"/>
    <x v="3"/>
    <x v="3"/>
    <n v="54"/>
    <n v="820"/>
    <n v="44280"/>
  </r>
  <r>
    <x v="472"/>
    <x v="14"/>
    <x v="5"/>
    <x v="1"/>
    <n v="35"/>
    <n v="1200"/>
    <n v="42000"/>
  </r>
  <r>
    <x v="864"/>
    <x v="14"/>
    <x v="3"/>
    <x v="4"/>
    <n v="27"/>
    <n v="450"/>
    <n v="12150"/>
  </r>
  <r>
    <x v="865"/>
    <x v="14"/>
    <x v="3"/>
    <x v="1"/>
    <n v="141"/>
    <n v="1200"/>
    <n v="169200"/>
  </r>
  <r>
    <x v="150"/>
    <x v="14"/>
    <x v="5"/>
    <x v="4"/>
    <n v="3"/>
    <n v="450"/>
    <n v="1350"/>
  </r>
  <r>
    <x v="866"/>
    <x v="14"/>
    <x v="5"/>
    <x v="0"/>
    <n v="186"/>
    <n v="650"/>
    <n v="120900"/>
  </r>
  <r>
    <x v="867"/>
    <x v="14"/>
    <x v="0"/>
    <x v="3"/>
    <n v="3"/>
    <n v="950"/>
    <n v="2850"/>
  </r>
  <r>
    <x v="642"/>
    <x v="14"/>
    <x v="5"/>
    <x v="3"/>
    <n v="4"/>
    <n v="950"/>
    <n v="3800"/>
  </r>
  <r>
    <x v="826"/>
    <x v="14"/>
    <x v="0"/>
    <x v="2"/>
    <n v="3"/>
    <n v="800"/>
    <n v="2400"/>
  </r>
  <r>
    <x v="576"/>
    <x v="14"/>
    <x v="4"/>
    <x v="1"/>
    <n v="151"/>
    <n v="1200"/>
    <n v="181200"/>
  </r>
  <r>
    <x v="674"/>
    <x v="14"/>
    <x v="0"/>
    <x v="1"/>
    <n v="75"/>
    <n v="1200"/>
    <n v="90000"/>
  </r>
  <r>
    <x v="868"/>
    <x v="14"/>
    <x v="3"/>
    <x v="0"/>
    <n v="38"/>
    <n v="650"/>
    <n v="24700"/>
  </r>
  <r>
    <x v="869"/>
    <x v="14"/>
    <x v="1"/>
    <x v="2"/>
    <n v="9"/>
    <n v="800"/>
    <n v="7200"/>
  </r>
  <r>
    <x v="870"/>
    <x v="14"/>
    <x v="2"/>
    <x v="3"/>
    <n v="18"/>
    <n v="820"/>
    <n v="14760"/>
  </r>
  <r>
    <x v="871"/>
    <x v="14"/>
    <x v="1"/>
    <x v="4"/>
    <n v="35"/>
    <n v="450"/>
    <n v="15750"/>
  </r>
  <r>
    <x v="98"/>
    <x v="14"/>
    <x v="5"/>
    <x v="4"/>
    <n v="107"/>
    <n v="450"/>
    <n v="48150"/>
  </r>
  <r>
    <x v="709"/>
    <x v="14"/>
    <x v="3"/>
    <x v="4"/>
    <n v="6"/>
    <n v="450"/>
    <n v="2700"/>
  </r>
  <r>
    <x v="505"/>
    <x v="14"/>
    <x v="5"/>
    <x v="3"/>
    <n v="121"/>
    <n v="950"/>
    <n v="114950"/>
  </r>
  <r>
    <x v="872"/>
    <x v="14"/>
    <x v="3"/>
    <x v="2"/>
    <n v="112"/>
    <n v="800"/>
    <n v="89600"/>
  </r>
  <r>
    <x v="256"/>
    <x v="14"/>
    <x v="2"/>
    <x v="3"/>
    <n v="16"/>
    <n v="950"/>
    <n v="15200"/>
  </r>
  <r>
    <x v="1"/>
    <x v="14"/>
    <x v="4"/>
    <x v="3"/>
    <n v="202"/>
    <n v="820"/>
    <n v="165640"/>
  </r>
  <r>
    <x v="873"/>
    <x v="14"/>
    <x v="3"/>
    <x v="1"/>
    <n v="139"/>
    <n v="1200"/>
    <n v="166800"/>
  </r>
  <r>
    <x v="874"/>
    <x v="14"/>
    <x v="3"/>
    <x v="3"/>
    <n v="9"/>
    <n v="820"/>
    <n v="7380"/>
  </r>
  <r>
    <x v="875"/>
    <x v="14"/>
    <x v="3"/>
    <x v="4"/>
    <n v="32"/>
    <n v="450"/>
    <n v="14400"/>
  </r>
  <r>
    <x v="60"/>
    <x v="14"/>
    <x v="3"/>
    <x v="3"/>
    <n v="39"/>
    <n v="820"/>
    <n v="31980"/>
  </r>
  <r>
    <x v="876"/>
    <x v="14"/>
    <x v="0"/>
    <x v="0"/>
    <n v="111"/>
    <n v="650"/>
    <n v="72150"/>
  </r>
  <r>
    <x v="687"/>
    <x v="14"/>
    <x v="4"/>
    <x v="3"/>
    <n v="241"/>
    <n v="820"/>
    <n v="197620"/>
  </r>
  <r>
    <x v="108"/>
    <x v="14"/>
    <x v="2"/>
    <x v="2"/>
    <n v="31"/>
    <n v="800"/>
    <n v="24800"/>
  </r>
  <r>
    <x v="877"/>
    <x v="14"/>
    <x v="0"/>
    <x v="2"/>
    <n v="37"/>
    <n v="800"/>
    <n v="29600"/>
  </r>
  <r>
    <x v="878"/>
    <x v="14"/>
    <x v="1"/>
    <x v="1"/>
    <n v="53"/>
    <n v="1200"/>
    <n v="63600"/>
  </r>
  <r>
    <x v="879"/>
    <x v="14"/>
    <x v="3"/>
    <x v="4"/>
    <n v="54"/>
    <n v="450"/>
    <n v="24300"/>
  </r>
  <r>
    <x v="444"/>
    <x v="14"/>
    <x v="4"/>
    <x v="3"/>
    <n v="125"/>
    <n v="820"/>
    <n v="102500"/>
  </r>
  <r>
    <x v="335"/>
    <x v="14"/>
    <x v="5"/>
    <x v="2"/>
    <n v="75"/>
    <n v="800"/>
    <n v="60000"/>
  </r>
  <r>
    <x v="880"/>
    <x v="14"/>
    <x v="2"/>
    <x v="1"/>
    <n v="16"/>
    <n v="1200"/>
    <n v="19200"/>
  </r>
  <r>
    <x v="134"/>
    <x v="14"/>
    <x v="0"/>
    <x v="2"/>
    <n v="116"/>
    <n v="800"/>
    <n v="92800"/>
  </r>
  <r>
    <x v="881"/>
    <x v="14"/>
    <x v="3"/>
    <x v="0"/>
    <n v="74"/>
    <n v="650"/>
    <n v="48100"/>
  </r>
  <r>
    <x v="389"/>
    <x v="14"/>
    <x v="0"/>
    <x v="1"/>
    <n v="33"/>
    <n v="1200"/>
    <n v="39600"/>
  </r>
  <r>
    <x v="882"/>
    <x v="14"/>
    <x v="4"/>
    <x v="2"/>
    <n v="42"/>
    <n v="800"/>
    <n v="33600"/>
  </r>
  <r>
    <x v="883"/>
    <x v="14"/>
    <x v="4"/>
    <x v="1"/>
    <n v="6"/>
    <n v="1200"/>
    <n v="7200"/>
  </r>
  <r>
    <x v="884"/>
    <x v="14"/>
    <x v="1"/>
    <x v="0"/>
    <n v="42"/>
    <n v="650"/>
    <n v="27300"/>
  </r>
  <r>
    <x v="885"/>
    <x v="14"/>
    <x v="3"/>
    <x v="3"/>
    <n v="1"/>
    <n v="950"/>
    <n v="950"/>
  </r>
  <r>
    <x v="275"/>
    <x v="14"/>
    <x v="1"/>
    <x v="2"/>
    <n v="48"/>
    <n v="800"/>
    <n v="38400"/>
  </r>
  <r>
    <x v="440"/>
    <x v="14"/>
    <x v="4"/>
    <x v="4"/>
    <n v="46"/>
    <n v="450"/>
    <n v="20700"/>
  </r>
  <r>
    <x v="284"/>
    <x v="14"/>
    <x v="5"/>
    <x v="0"/>
    <n v="27"/>
    <n v="650"/>
    <n v="17550"/>
  </r>
  <r>
    <x v="886"/>
    <x v="14"/>
    <x v="3"/>
    <x v="0"/>
    <n v="72"/>
    <n v="650"/>
    <n v="46800"/>
  </r>
  <r>
    <x v="21"/>
    <x v="14"/>
    <x v="1"/>
    <x v="2"/>
    <n v="8"/>
    <n v="800"/>
    <n v="6400"/>
  </r>
  <r>
    <x v="887"/>
    <x v="14"/>
    <x v="4"/>
    <x v="4"/>
    <n v="28"/>
    <n v="450"/>
    <n v="12600"/>
  </r>
  <r>
    <x v="888"/>
    <x v="14"/>
    <x v="4"/>
    <x v="4"/>
    <n v="116"/>
    <n v="450"/>
    <n v="52200"/>
  </r>
  <r>
    <x v="889"/>
    <x v="15"/>
    <x v="4"/>
    <x v="2"/>
    <n v="56"/>
    <n v="800"/>
    <n v="44800"/>
  </r>
  <r>
    <x v="890"/>
    <x v="15"/>
    <x v="4"/>
    <x v="2"/>
    <n v="99"/>
    <n v="800"/>
    <n v="79200"/>
  </r>
  <r>
    <x v="891"/>
    <x v="15"/>
    <x v="1"/>
    <x v="2"/>
    <n v="47"/>
    <n v="800"/>
    <n v="37600"/>
  </r>
  <r>
    <x v="892"/>
    <x v="15"/>
    <x v="4"/>
    <x v="1"/>
    <n v="47"/>
    <n v="1200"/>
    <n v="56400"/>
  </r>
  <r>
    <x v="609"/>
    <x v="15"/>
    <x v="3"/>
    <x v="2"/>
    <n v="91"/>
    <n v="800"/>
    <n v="72800"/>
  </r>
  <r>
    <x v="445"/>
    <x v="15"/>
    <x v="2"/>
    <x v="0"/>
    <n v="1"/>
    <n v="650"/>
    <n v="650"/>
  </r>
  <r>
    <x v="34"/>
    <x v="15"/>
    <x v="4"/>
    <x v="1"/>
    <n v="57"/>
    <n v="1200"/>
    <n v="68400"/>
  </r>
  <r>
    <x v="5"/>
    <x v="15"/>
    <x v="1"/>
    <x v="2"/>
    <n v="50"/>
    <n v="800"/>
    <n v="40000"/>
  </r>
  <r>
    <x v="893"/>
    <x v="15"/>
    <x v="3"/>
    <x v="3"/>
    <n v="1"/>
    <n v="950"/>
    <n v="950"/>
  </r>
  <r>
    <x v="894"/>
    <x v="15"/>
    <x v="1"/>
    <x v="3"/>
    <n v="15"/>
    <n v="820"/>
    <n v="12300"/>
  </r>
  <r>
    <x v="895"/>
    <x v="15"/>
    <x v="1"/>
    <x v="2"/>
    <n v="6"/>
    <n v="800"/>
    <n v="4800"/>
  </r>
  <r>
    <x v="896"/>
    <x v="15"/>
    <x v="4"/>
    <x v="2"/>
    <n v="24"/>
    <n v="800"/>
    <n v="19200"/>
  </r>
  <r>
    <x v="897"/>
    <x v="15"/>
    <x v="5"/>
    <x v="0"/>
    <n v="61"/>
    <n v="650"/>
    <n v="39650"/>
  </r>
  <r>
    <x v="898"/>
    <x v="15"/>
    <x v="5"/>
    <x v="4"/>
    <n v="225"/>
    <n v="450"/>
    <n v="101250"/>
  </r>
  <r>
    <x v="899"/>
    <x v="15"/>
    <x v="0"/>
    <x v="0"/>
    <n v="49"/>
    <n v="650"/>
    <n v="31850"/>
  </r>
  <r>
    <x v="900"/>
    <x v="15"/>
    <x v="0"/>
    <x v="2"/>
    <n v="18"/>
    <n v="800"/>
    <n v="14400"/>
  </r>
  <r>
    <x v="58"/>
    <x v="15"/>
    <x v="1"/>
    <x v="2"/>
    <n v="9"/>
    <n v="800"/>
    <n v="7200"/>
  </r>
  <r>
    <x v="901"/>
    <x v="15"/>
    <x v="5"/>
    <x v="2"/>
    <n v="175"/>
    <n v="800"/>
    <n v="140000"/>
  </r>
  <r>
    <x v="902"/>
    <x v="15"/>
    <x v="5"/>
    <x v="2"/>
    <n v="64"/>
    <n v="800"/>
    <n v="51200"/>
  </r>
  <r>
    <x v="903"/>
    <x v="15"/>
    <x v="2"/>
    <x v="3"/>
    <n v="22"/>
    <n v="820"/>
    <n v="18040"/>
  </r>
  <r>
    <x v="904"/>
    <x v="15"/>
    <x v="2"/>
    <x v="3"/>
    <n v="13"/>
    <n v="950"/>
    <n v="12350"/>
  </r>
  <r>
    <x v="905"/>
    <x v="15"/>
    <x v="3"/>
    <x v="1"/>
    <n v="39"/>
    <n v="1200"/>
    <n v="46800"/>
  </r>
  <r>
    <x v="854"/>
    <x v="15"/>
    <x v="2"/>
    <x v="3"/>
    <n v="9"/>
    <n v="950"/>
    <n v="8550"/>
  </r>
  <r>
    <x v="404"/>
    <x v="15"/>
    <x v="5"/>
    <x v="3"/>
    <n v="32"/>
    <n v="820"/>
    <n v="26240"/>
  </r>
  <r>
    <x v="100"/>
    <x v="15"/>
    <x v="2"/>
    <x v="3"/>
    <n v="4"/>
    <n v="820"/>
    <n v="3280"/>
  </r>
  <r>
    <x v="183"/>
    <x v="15"/>
    <x v="3"/>
    <x v="1"/>
    <n v="27"/>
    <n v="1200"/>
    <n v="32400"/>
  </r>
  <r>
    <x v="906"/>
    <x v="15"/>
    <x v="5"/>
    <x v="2"/>
    <n v="219"/>
    <n v="800"/>
    <n v="175200"/>
  </r>
  <r>
    <x v="907"/>
    <x v="15"/>
    <x v="1"/>
    <x v="2"/>
    <n v="1"/>
    <n v="800"/>
    <n v="800"/>
  </r>
  <r>
    <x v="123"/>
    <x v="15"/>
    <x v="3"/>
    <x v="2"/>
    <n v="14"/>
    <n v="800"/>
    <n v="11200"/>
  </r>
  <r>
    <x v="908"/>
    <x v="15"/>
    <x v="2"/>
    <x v="3"/>
    <n v="9"/>
    <n v="820"/>
    <n v="7380"/>
  </r>
  <r>
    <x v="909"/>
    <x v="15"/>
    <x v="2"/>
    <x v="3"/>
    <n v="16"/>
    <n v="950"/>
    <n v="15200"/>
  </r>
  <r>
    <x v="910"/>
    <x v="15"/>
    <x v="4"/>
    <x v="2"/>
    <n v="54"/>
    <n v="800"/>
    <n v="43200"/>
  </r>
  <r>
    <x v="223"/>
    <x v="15"/>
    <x v="1"/>
    <x v="3"/>
    <n v="3"/>
    <n v="820"/>
    <n v="2460"/>
  </r>
  <r>
    <x v="130"/>
    <x v="15"/>
    <x v="0"/>
    <x v="3"/>
    <n v="43"/>
    <n v="950"/>
    <n v="40850"/>
  </r>
  <r>
    <x v="911"/>
    <x v="15"/>
    <x v="4"/>
    <x v="2"/>
    <n v="52"/>
    <n v="800"/>
    <n v="41600"/>
  </r>
  <r>
    <x v="338"/>
    <x v="15"/>
    <x v="4"/>
    <x v="3"/>
    <n v="41"/>
    <n v="820"/>
    <n v="33620"/>
  </r>
  <r>
    <x v="912"/>
    <x v="15"/>
    <x v="3"/>
    <x v="1"/>
    <n v="40"/>
    <n v="1200"/>
    <n v="48000"/>
  </r>
  <r>
    <x v="55"/>
    <x v="15"/>
    <x v="3"/>
    <x v="3"/>
    <n v="112"/>
    <n v="950"/>
    <n v="106400"/>
  </r>
  <r>
    <x v="913"/>
    <x v="15"/>
    <x v="1"/>
    <x v="0"/>
    <n v="31"/>
    <n v="650"/>
    <n v="20150"/>
  </r>
  <r>
    <x v="914"/>
    <x v="15"/>
    <x v="5"/>
    <x v="2"/>
    <n v="82"/>
    <n v="800"/>
    <n v="65600"/>
  </r>
  <r>
    <x v="915"/>
    <x v="15"/>
    <x v="4"/>
    <x v="2"/>
    <n v="76"/>
    <n v="800"/>
    <n v="60800"/>
  </r>
  <r>
    <x v="737"/>
    <x v="15"/>
    <x v="1"/>
    <x v="1"/>
    <n v="27"/>
    <n v="1200"/>
    <n v="32400"/>
  </r>
  <r>
    <x v="548"/>
    <x v="15"/>
    <x v="0"/>
    <x v="0"/>
    <n v="8"/>
    <n v="650"/>
    <n v="5200"/>
  </r>
  <r>
    <x v="916"/>
    <x v="15"/>
    <x v="5"/>
    <x v="3"/>
    <n v="2"/>
    <n v="820"/>
    <n v="1640"/>
  </r>
  <r>
    <x v="777"/>
    <x v="15"/>
    <x v="1"/>
    <x v="2"/>
    <n v="19"/>
    <n v="800"/>
    <n v="15200"/>
  </r>
  <r>
    <x v="917"/>
    <x v="15"/>
    <x v="3"/>
    <x v="4"/>
    <n v="85"/>
    <n v="450"/>
    <n v="38250"/>
  </r>
  <r>
    <x v="366"/>
    <x v="15"/>
    <x v="4"/>
    <x v="0"/>
    <n v="47"/>
    <n v="650"/>
    <n v="30550"/>
  </r>
  <r>
    <x v="860"/>
    <x v="15"/>
    <x v="4"/>
    <x v="4"/>
    <n v="140"/>
    <n v="450"/>
    <n v="63000"/>
  </r>
  <r>
    <x v="553"/>
    <x v="15"/>
    <x v="5"/>
    <x v="3"/>
    <n v="116"/>
    <n v="820"/>
    <n v="95120"/>
  </r>
  <r>
    <x v="611"/>
    <x v="15"/>
    <x v="0"/>
    <x v="3"/>
    <n v="11"/>
    <n v="820"/>
    <n v="9020"/>
  </r>
  <r>
    <x v="469"/>
    <x v="15"/>
    <x v="0"/>
    <x v="0"/>
    <n v="70"/>
    <n v="650"/>
    <n v="45500"/>
  </r>
  <r>
    <x v="918"/>
    <x v="15"/>
    <x v="0"/>
    <x v="3"/>
    <n v="60"/>
    <n v="950"/>
    <n v="57000"/>
  </r>
  <r>
    <x v="844"/>
    <x v="15"/>
    <x v="5"/>
    <x v="3"/>
    <n v="137"/>
    <n v="820"/>
    <n v="112340"/>
  </r>
  <r>
    <x v="919"/>
    <x v="15"/>
    <x v="3"/>
    <x v="0"/>
    <n v="154"/>
    <n v="650"/>
    <n v="100100"/>
  </r>
  <r>
    <x v="920"/>
    <x v="15"/>
    <x v="1"/>
    <x v="3"/>
    <n v="2"/>
    <n v="820"/>
    <n v="1640"/>
  </r>
  <r>
    <x v="921"/>
    <x v="15"/>
    <x v="4"/>
    <x v="2"/>
    <n v="19"/>
    <n v="800"/>
    <n v="15200"/>
  </r>
  <r>
    <x v="922"/>
    <x v="15"/>
    <x v="1"/>
    <x v="2"/>
    <n v="15"/>
    <n v="800"/>
    <n v="12000"/>
  </r>
  <r>
    <x v="324"/>
    <x v="15"/>
    <x v="0"/>
    <x v="2"/>
    <n v="34"/>
    <n v="800"/>
    <n v="27200"/>
  </r>
  <r>
    <x v="903"/>
    <x v="15"/>
    <x v="2"/>
    <x v="3"/>
    <n v="2"/>
    <n v="820"/>
    <n v="1640"/>
  </r>
  <r>
    <x v="852"/>
    <x v="15"/>
    <x v="4"/>
    <x v="2"/>
    <n v="165"/>
    <n v="800"/>
    <n v="132000"/>
  </r>
  <r>
    <x v="923"/>
    <x v="15"/>
    <x v="0"/>
    <x v="0"/>
    <n v="85"/>
    <n v="650"/>
    <n v="55250"/>
  </r>
  <r>
    <x v="924"/>
    <x v="16"/>
    <x v="1"/>
    <x v="1"/>
    <n v="7"/>
    <n v="1200"/>
    <n v="8400"/>
  </r>
  <r>
    <x v="925"/>
    <x v="16"/>
    <x v="1"/>
    <x v="2"/>
    <n v="63"/>
    <n v="800"/>
    <n v="50400"/>
  </r>
  <r>
    <x v="291"/>
    <x v="16"/>
    <x v="5"/>
    <x v="3"/>
    <n v="39"/>
    <n v="820"/>
    <n v="31980"/>
  </r>
  <r>
    <x v="926"/>
    <x v="16"/>
    <x v="5"/>
    <x v="2"/>
    <n v="140"/>
    <n v="800"/>
    <n v="112000"/>
  </r>
  <r>
    <x v="927"/>
    <x v="16"/>
    <x v="0"/>
    <x v="4"/>
    <n v="70"/>
    <n v="450"/>
    <n v="31500"/>
  </r>
  <r>
    <x v="395"/>
    <x v="16"/>
    <x v="2"/>
    <x v="3"/>
    <n v="4"/>
    <n v="950"/>
    <n v="3800"/>
  </r>
  <r>
    <x v="928"/>
    <x v="16"/>
    <x v="1"/>
    <x v="3"/>
    <n v="5"/>
    <n v="820"/>
    <n v="4100"/>
  </r>
  <r>
    <x v="929"/>
    <x v="16"/>
    <x v="5"/>
    <x v="2"/>
    <n v="124"/>
    <n v="800"/>
    <n v="99200"/>
  </r>
  <r>
    <x v="930"/>
    <x v="16"/>
    <x v="0"/>
    <x v="4"/>
    <n v="59"/>
    <n v="450"/>
    <n v="26550"/>
  </r>
  <r>
    <x v="931"/>
    <x v="16"/>
    <x v="4"/>
    <x v="0"/>
    <n v="234"/>
    <n v="650"/>
    <n v="152100"/>
  </r>
  <r>
    <x v="932"/>
    <x v="16"/>
    <x v="2"/>
    <x v="2"/>
    <n v="13"/>
    <n v="800"/>
    <n v="10400"/>
  </r>
  <r>
    <x v="729"/>
    <x v="16"/>
    <x v="0"/>
    <x v="3"/>
    <n v="2"/>
    <n v="820"/>
    <n v="1640"/>
  </r>
  <r>
    <x v="933"/>
    <x v="16"/>
    <x v="1"/>
    <x v="3"/>
    <n v="23"/>
    <n v="820"/>
    <n v="18860"/>
  </r>
  <r>
    <x v="903"/>
    <x v="16"/>
    <x v="2"/>
    <x v="3"/>
    <n v="6"/>
    <n v="950"/>
    <n v="5700"/>
  </r>
  <r>
    <x v="643"/>
    <x v="16"/>
    <x v="5"/>
    <x v="3"/>
    <n v="98"/>
    <n v="820"/>
    <n v="80360"/>
  </r>
  <r>
    <x v="568"/>
    <x v="16"/>
    <x v="3"/>
    <x v="3"/>
    <n v="111"/>
    <n v="950"/>
    <n v="105450"/>
  </r>
  <r>
    <x v="917"/>
    <x v="16"/>
    <x v="2"/>
    <x v="1"/>
    <n v="14"/>
    <n v="1200"/>
    <n v="16800"/>
  </r>
  <r>
    <x v="934"/>
    <x v="16"/>
    <x v="3"/>
    <x v="0"/>
    <n v="50"/>
    <n v="650"/>
    <n v="32500"/>
  </r>
  <r>
    <x v="935"/>
    <x v="16"/>
    <x v="2"/>
    <x v="2"/>
    <n v="1"/>
    <n v="800"/>
    <n v="800"/>
  </r>
  <r>
    <x v="610"/>
    <x v="16"/>
    <x v="2"/>
    <x v="3"/>
    <n v="2"/>
    <n v="950"/>
    <n v="1900"/>
  </r>
  <r>
    <x v="936"/>
    <x v="16"/>
    <x v="4"/>
    <x v="3"/>
    <n v="82"/>
    <n v="820"/>
    <n v="67240"/>
  </r>
  <r>
    <x v="937"/>
    <x v="16"/>
    <x v="0"/>
    <x v="2"/>
    <n v="19"/>
    <n v="800"/>
    <n v="15200"/>
  </r>
  <r>
    <x v="938"/>
    <x v="16"/>
    <x v="3"/>
    <x v="3"/>
    <n v="35"/>
    <n v="950"/>
    <n v="33250"/>
  </r>
  <r>
    <x v="939"/>
    <x v="16"/>
    <x v="5"/>
    <x v="2"/>
    <n v="86"/>
    <n v="800"/>
    <n v="68800"/>
  </r>
  <r>
    <x v="940"/>
    <x v="16"/>
    <x v="3"/>
    <x v="1"/>
    <n v="39"/>
    <n v="1200"/>
    <n v="46800"/>
  </r>
  <r>
    <x v="941"/>
    <x v="16"/>
    <x v="2"/>
    <x v="4"/>
    <n v="2"/>
    <n v="450"/>
    <n v="900"/>
  </r>
  <r>
    <x v="104"/>
    <x v="16"/>
    <x v="4"/>
    <x v="3"/>
    <n v="51"/>
    <n v="820"/>
    <n v="41820"/>
  </r>
  <r>
    <x v="942"/>
    <x v="16"/>
    <x v="0"/>
    <x v="1"/>
    <n v="135"/>
    <n v="1200"/>
    <n v="162000"/>
  </r>
  <r>
    <x v="210"/>
    <x v="16"/>
    <x v="3"/>
    <x v="2"/>
    <n v="112"/>
    <n v="800"/>
    <n v="89600"/>
  </r>
  <r>
    <x v="481"/>
    <x v="16"/>
    <x v="2"/>
    <x v="3"/>
    <n v="4"/>
    <n v="820"/>
    <n v="3280"/>
  </r>
  <r>
    <x v="526"/>
    <x v="16"/>
    <x v="5"/>
    <x v="4"/>
    <n v="65"/>
    <n v="450"/>
    <n v="29250"/>
  </r>
  <r>
    <x v="31"/>
    <x v="16"/>
    <x v="0"/>
    <x v="2"/>
    <n v="36"/>
    <n v="800"/>
    <n v="28800"/>
  </r>
  <r>
    <x v="479"/>
    <x v="16"/>
    <x v="3"/>
    <x v="3"/>
    <n v="7"/>
    <n v="820"/>
    <n v="5740"/>
  </r>
  <r>
    <x v="133"/>
    <x v="16"/>
    <x v="1"/>
    <x v="3"/>
    <n v="31"/>
    <n v="950"/>
    <n v="29450"/>
  </r>
  <r>
    <x v="943"/>
    <x v="16"/>
    <x v="3"/>
    <x v="3"/>
    <n v="1"/>
    <n v="950"/>
    <n v="950"/>
  </r>
  <r>
    <x v="944"/>
    <x v="16"/>
    <x v="5"/>
    <x v="2"/>
    <n v="196"/>
    <n v="800"/>
    <n v="156800"/>
  </r>
  <r>
    <x v="945"/>
    <x v="16"/>
    <x v="1"/>
    <x v="2"/>
    <n v="51"/>
    <n v="800"/>
    <n v="40800"/>
  </r>
  <r>
    <x v="478"/>
    <x v="16"/>
    <x v="5"/>
    <x v="4"/>
    <n v="81"/>
    <n v="450"/>
    <n v="36450"/>
  </r>
  <r>
    <x v="946"/>
    <x v="16"/>
    <x v="4"/>
    <x v="3"/>
    <n v="62"/>
    <n v="820"/>
    <n v="50840"/>
  </r>
  <r>
    <x v="947"/>
    <x v="16"/>
    <x v="4"/>
    <x v="3"/>
    <n v="140"/>
    <n v="820"/>
    <n v="114800"/>
  </r>
  <r>
    <x v="948"/>
    <x v="16"/>
    <x v="0"/>
    <x v="1"/>
    <n v="134"/>
    <n v="1200"/>
    <n v="160800"/>
  </r>
  <r>
    <x v="74"/>
    <x v="16"/>
    <x v="1"/>
    <x v="2"/>
    <n v="12"/>
    <n v="800"/>
    <n v="9600"/>
  </r>
  <r>
    <x v="67"/>
    <x v="16"/>
    <x v="3"/>
    <x v="2"/>
    <n v="44"/>
    <n v="800"/>
    <n v="35200"/>
  </r>
  <r>
    <x v="113"/>
    <x v="16"/>
    <x v="2"/>
    <x v="3"/>
    <n v="1"/>
    <n v="820"/>
    <n v="820"/>
  </r>
  <r>
    <x v="624"/>
    <x v="16"/>
    <x v="1"/>
    <x v="3"/>
    <n v="42"/>
    <n v="820"/>
    <n v="34440"/>
  </r>
  <r>
    <x v="604"/>
    <x v="16"/>
    <x v="2"/>
    <x v="4"/>
    <n v="7"/>
    <n v="450"/>
    <n v="3150"/>
  </r>
  <r>
    <x v="949"/>
    <x v="16"/>
    <x v="5"/>
    <x v="3"/>
    <n v="44"/>
    <n v="820"/>
    <n v="36080"/>
  </r>
  <r>
    <x v="365"/>
    <x v="16"/>
    <x v="1"/>
    <x v="3"/>
    <n v="16"/>
    <n v="820"/>
    <n v="13120"/>
  </r>
  <r>
    <x v="376"/>
    <x v="16"/>
    <x v="1"/>
    <x v="1"/>
    <n v="39"/>
    <n v="1200"/>
    <n v="46800"/>
  </r>
  <r>
    <x v="950"/>
    <x v="16"/>
    <x v="1"/>
    <x v="3"/>
    <n v="30"/>
    <n v="820"/>
    <n v="24600"/>
  </r>
  <r>
    <x v="951"/>
    <x v="16"/>
    <x v="4"/>
    <x v="3"/>
    <n v="192"/>
    <n v="820"/>
    <n v="157440"/>
  </r>
  <r>
    <x v="952"/>
    <x v="16"/>
    <x v="4"/>
    <x v="3"/>
    <n v="125"/>
    <n v="950"/>
    <n v="118750"/>
  </r>
  <r>
    <x v="94"/>
    <x v="16"/>
    <x v="4"/>
    <x v="2"/>
    <n v="25"/>
    <n v="800"/>
    <n v="20000"/>
  </r>
  <r>
    <x v="860"/>
    <x v="16"/>
    <x v="0"/>
    <x v="3"/>
    <n v="30"/>
    <n v="820"/>
    <n v="24600"/>
  </r>
  <r>
    <x v="655"/>
    <x v="16"/>
    <x v="0"/>
    <x v="3"/>
    <n v="17"/>
    <n v="950"/>
    <n v="16150"/>
  </r>
  <r>
    <x v="953"/>
    <x v="16"/>
    <x v="0"/>
    <x v="2"/>
    <n v="29"/>
    <n v="800"/>
    <n v="23200"/>
  </r>
  <r>
    <x v="954"/>
    <x v="16"/>
    <x v="2"/>
    <x v="3"/>
    <n v="15"/>
    <n v="950"/>
    <n v="14250"/>
  </r>
  <r>
    <x v="42"/>
    <x v="16"/>
    <x v="1"/>
    <x v="3"/>
    <n v="1"/>
    <n v="820"/>
    <n v="820"/>
  </r>
  <r>
    <x v="955"/>
    <x v="16"/>
    <x v="0"/>
    <x v="0"/>
    <n v="2"/>
    <n v="650"/>
    <n v="1300"/>
  </r>
  <r>
    <x v="688"/>
    <x v="16"/>
    <x v="1"/>
    <x v="3"/>
    <n v="34"/>
    <n v="820"/>
    <n v="27880"/>
  </r>
  <r>
    <x v="0"/>
    <x v="16"/>
    <x v="3"/>
    <x v="3"/>
    <n v="107"/>
    <n v="820"/>
    <n v="87740"/>
  </r>
  <r>
    <x v="411"/>
    <x v="16"/>
    <x v="2"/>
    <x v="0"/>
    <n v="29"/>
    <n v="650"/>
    <n v="18850"/>
  </r>
  <r>
    <x v="329"/>
    <x v="17"/>
    <x v="0"/>
    <x v="2"/>
    <n v="29"/>
    <n v="800"/>
    <n v="23200"/>
  </r>
  <r>
    <x v="956"/>
    <x v="17"/>
    <x v="4"/>
    <x v="3"/>
    <n v="125"/>
    <n v="820"/>
    <n v="102500"/>
  </r>
  <r>
    <x v="744"/>
    <x v="17"/>
    <x v="0"/>
    <x v="2"/>
    <n v="14"/>
    <n v="800"/>
    <n v="11200"/>
  </r>
  <r>
    <x v="957"/>
    <x v="17"/>
    <x v="0"/>
    <x v="1"/>
    <n v="18"/>
    <n v="1200"/>
    <n v="21600"/>
  </r>
  <r>
    <x v="77"/>
    <x v="17"/>
    <x v="5"/>
    <x v="4"/>
    <n v="55"/>
    <n v="450"/>
    <n v="24750"/>
  </r>
  <r>
    <x v="958"/>
    <x v="17"/>
    <x v="5"/>
    <x v="1"/>
    <n v="41"/>
    <n v="1200"/>
    <n v="49200"/>
  </r>
  <r>
    <x v="592"/>
    <x v="17"/>
    <x v="5"/>
    <x v="2"/>
    <n v="1"/>
    <n v="800"/>
    <n v="800"/>
  </r>
  <r>
    <x v="959"/>
    <x v="17"/>
    <x v="5"/>
    <x v="2"/>
    <n v="133"/>
    <n v="800"/>
    <n v="106400"/>
  </r>
  <r>
    <x v="102"/>
    <x v="17"/>
    <x v="3"/>
    <x v="3"/>
    <n v="8"/>
    <n v="950"/>
    <n v="7600"/>
  </r>
  <r>
    <x v="946"/>
    <x v="17"/>
    <x v="4"/>
    <x v="1"/>
    <n v="74"/>
    <n v="1200"/>
    <n v="88800"/>
  </r>
  <r>
    <x v="960"/>
    <x v="17"/>
    <x v="3"/>
    <x v="1"/>
    <n v="25"/>
    <n v="1200"/>
    <n v="30000"/>
  </r>
  <r>
    <x v="337"/>
    <x v="17"/>
    <x v="2"/>
    <x v="3"/>
    <n v="23"/>
    <n v="950"/>
    <n v="21850"/>
  </r>
  <r>
    <x v="961"/>
    <x v="17"/>
    <x v="1"/>
    <x v="2"/>
    <n v="81"/>
    <n v="800"/>
    <n v="64800"/>
  </r>
  <r>
    <x v="962"/>
    <x v="17"/>
    <x v="1"/>
    <x v="2"/>
    <n v="98"/>
    <n v="800"/>
    <n v="78400"/>
  </r>
  <r>
    <x v="963"/>
    <x v="17"/>
    <x v="2"/>
    <x v="2"/>
    <n v="44"/>
    <n v="800"/>
    <n v="35200"/>
  </r>
  <r>
    <x v="325"/>
    <x v="17"/>
    <x v="1"/>
    <x v="1"/>
    <n v="21"/>
    <n v="1200"/>
    <n v="25200"/>
  </r>
  <r>
    <x v="964"/>
    <x v="17"/>
    <x v="2"/>
    <x v="4"/>
    <n v="5"/>
    <n v="450"/>
    <n v="2250"/>
  </r>
  <r>
    <x v="606"/>
    <x v="17"/>
    <x v="3"/>
    <x v="3"/>
    <n v="86"/>
    <n v="820"/>
    <n v="70520"/>
  </r>
  <r>
    <x v="714"/>
    <x v="17"/>
    <x v="0"/>
    <x v="3"/>
    <n v="16"/>
    <n v="950"/>
    <n v="15200"/>
  </r>
  <r>
    <x v="601"/>
    <x v="17"/>
    <x v="3"/>
    <x v="1"/>
    <n v="176"/>
    <n v="1200"/>
    <n v="211200"/>
  </r>
  <r>
    <x v="866"/>
    <x v="17"/>
    <x v="0"/>
    <x v="2"/>
    <n v="148"/>
    <n v="800"/>
    <n v="118400"/>
  </r>
  <r>
    <x v="465"/>
    <x v="17"/>
    <x v="1"/>
    <x v="4"/>
    <n v="12"/>
    <n v="450"/>
    <n v="5400"/>
  </r>
  <r>
    <x v="858"/>
    <x v="17"/>
    <x v="1"/>
    <x v="3"/>
    <n v="26"/>
    <n v="820"/>
    <n v="21320"/>
  </r>
  <r>
    <x v="965"/>
    <x v="17"/>
    <x v="0"/>
    <x v="3"/>
    <n v="56"/>
    <n v="820"/>
    <n v="45920"/>
  </r>
  <r>
    <x v="966"/>
    <x v="17"/>
    <x v="1"/>
    <x v="2"/>
    <n v="31"/>
    <n v="800"/>
    <n v="24800"/>
  </r>
  <r>
    <x v="967"/>
    <x v="17"/>
    <x v="5"/>
    <x v="2"/>
    <n v="175"/>
    <n v="800"/>
    <n v="140000"/>
  </r>
  <r>
    <x v="516"/>
    <x v="17"/>
    <x v="1"/>
    <x v="3"/>
    <n v="13"/>
    <n v="820"/>
    <n v="10660"/>
  </r>
  <r>
    <x v="968"/>
    <x v="17"/>
    <x v="5"/>
    <x v="0"/>
    <n v="64"/>
    <n v="650"/>
    <n v="41600"/>
  </r>
  <r>
    <x v="969"/>
    <x v="17"/>
    <x v="5"/>
    <x v="2"/>
    <n v="100"/>
    <n v="800"/>
    <n v="80000"/>
  </r>
  <r>
    <x v="809"/>
    <x v="17"/>
    <x v="2"/>
    <x v="2"/>
    <n v="2"/>
    <n v="800"/>
    <n v="1600"/>
  </r>
  <r>
    <x v="970"/>
    <x v="17"/>
    <x v="3"/>
    <x v="1"/>
    <n v="54"/>
    <n v="1200"/>
    <n v="64800"/>
  </r>
  <r>
    <x v="729"/>
    <x v="17"/>
    <x v="1"/>
    <x v="3"/>
    <n v="25"/>
    <n v="820"/>
    <n v="20500"/>
  </r>
  <r>
    <x v="318"/>
    <x v="17"/>
    <x v="4"/>
    <x v="2"/>
    <n v="87"/>
    <n v="800"/>
    <n v="69600"/>
  </r>
  <r>
    <x v="971"/>
    <x v="17"/>
    <x v="1"/>
    <x v="0"/>
    <n v="46"/>
    <n v="650"/>
    <n v="29900"/>
  </r>
  <r>
    <x v="81"/>
    <x v="17"/>
    <x v="5"/>
    <x v="3"/>
    <n v="20"/>
    <n v="820"/>
    <n v="16400"/>
  </r>
  <r>
    <x v="726"/>
    <x v="17"/>
    <x v="0"/>
    <x v="3"/>
    <n v="57"/>
    <n v="950"/>
    <n v="54150"/>
  </r>
  <r>
    <x v="156"/>
    <x v="17"/>
    <x v="1"/>
    <x v="2"/>
    <n v="32"/>
    <n v="800"/>
    <n v="25600"/>
  </r>
  <r>
    <x v="972"/>
    <x v="17"/>
    <x v="1"/>
    <x v="2"/>
    <n v="58"/>
    <n v="800"/>
    <n v="46400"/>
  </r>
  <r>
    <x v="891"/>
    <x v="17"/>
    <x v="1"/>
    <x v="1"/>
    <n v="22"/>
    <n v="1200"/>
    <n v="26400"/>
  </r>
  <r>
    <x v="973"/>
    <x v="17"/>
    <x v="1"/>
    <x v="1"/>
    <n v="47"/>
    <n v="1200"/>
    <n v="56400"/>
  </r>
  <r>
    <x v="974"/>
    <x v="17"/>
    <x v="5"/>
    <x v="3"/>
    <n v="108"/>
    <n v="820"/>
    <n v="88560"/>
  </r>
  <r>
    <x v="763"/>
    <x v="17"/>
    <x v="3"/>
    <x v="2"/>
    <n v="25"/>
    <n v="800"/>
    <n v="20000"/>
  </r>
  <r>
    <x v="757"/>
    <x v="17"/>
    <x v="1"/>
    <x v="3"/>
    <n v="82"/>
    <n v="820"/>
    <n v="67240"/>
  </r>
  <r>
    <x v="975"/>
    <x v="17"/>
    <x v="3"/>
    <x v="4"/>
    <n v="56"/>
    <n v="450"/>
    <n v="25200"/>
  </r>
  <r>
    <x v="843"/>
    <x v="17"/>
    <x v="3"/>
    <x v="1"/>
    <n v="23"/>
    <n v="1200"/>
    <n v="27600"/>
  </r>
  <r>
    <x v="146"/>
    <x v="17"/>
    <x v="0"/>
    <x v="0"/>
    <n v="64"/>
    <n v="650"/>
    <n v="41600"/>
  </r>
  <r>
    <x v="976"/>
    <x v="17"/>
    <x v="5"/>
    <x v="1"/>
    <n v="14"/>
    <n v="1200"/>
    <n v="16800"/>
  </r>
  <r>
    <x v="197"/>
    <x v="17"/>
    <x v="3"/>
    <x v="3"/>
    <n v="10"/>
    <n v="950"/>
    <n v="9500"/>
  </r>
  <r>
    <x v="977"/>
    <x v="17"/>
    <x v="3"/>
    <x v="3"/>
    <n v="107"/>
    <n v="820"/>
    <n v="87740"/>
  </r>
  <r>
    <x v="831"/>
    <x v="17"/>
    <x v="3"/>
    <x v="2"/>
    <n v="40"/>
    <n v="800"/>
    <n v="32000"/>
  </r>
  <r>
    <x v="978"/>
    <x v="17"/>
    <x v="4"/>
    <x v="2"/>
    <n v="28"/>
    <n v="800"/>
    <n v="22400"/>
  </r>
  <r>
    <x v="964"/>
    <x v="17"/>
    <x v="4"/>
    <x v="3"/>
    <n v="46"/>
    <n v="950"/>
    <n v="43700"/>
  </r>
  <r>
    <x v="505"/>
    <x v="18"/>
    <x v="5"/>
    <x v="3"/>
    <n v="1"/>
    <n v="820"/>
    <n v="820"/>
  </r>
  <r>
    <x v="439"/>
    <x v="18"/>
    <x v="2"/>
    <x v="4"/>
    <n v="10"/>
    <n v="450"/>
    <n v="4500"/>
  </r>
  <r>
    <x v="979"/>
    <x v="18"/>
    <x v="3"/>
    <x v="2"/>
    <n v="60"/>
    <n v="800"/>
    <n v="48000"/>
  </r>
  <r>
    <x v="318"/>
    <x v="18"/>
    <x v="0"/>
    <x v="2"/>
    <n v="46"/>
    <n v="800"/>
    <n v="36800"/>
  </r>
  <r>
    <x v="369"/>
    <x v="18"/>
    <x v="0"/>
    <x v="1"/>
    <n v="43"/>
    <n v="1200"/>
    <n v="51600"/>
  </r>
  <r>
    <x v="507"/>
    <x v="18"/>
    <x v="1"/>
    <x v="0"/>
    <n v="24"/>
    <n v="650"/>
    <n v="15600"/>
  </r>
  <r>
    <x v="155"/>
    <x v="18"/>
    <x v="3"/>
    <x v="2"/>
    <n v="12"/>
    <n v="800"/>
    <n v="9600"/>
  </r>
  <r>
    <x v="295"/>
    <x v="18"/>
    <x v="5"/>
    <x v="3"/>
    <n v="69"/>
    <n v="820"/>
    <n v="56580"/>
  </r>
  <r>
    <x v="980"/>
    <x v="18"/>
    <x v="1"/>
    <x v="2"/>
    <n v="3"/>
    <n v="800"/>
    <n v="2400"/>
  </r>
  <r>
    <x v="981"/>
    <x v="18"/>
    <x v="5"/>
    <x v="3"/>
    <n v="69"/>
    <n v="820"/>
    <n v="56580"/>
  </r>
  <r>
    <x v="982"/>
    <x v="18"/>
    <x v="4"/>
    <x v="1"/>
    <n v="2"/>
    <n v="1200"/>
    <n v="2400"/>
  </r>
  <r>
    <x v="355"/>
    <x v="18"/>
    <x v="3"/>
    <x v="3"/>
    <n v="26"/>
    <n v="820"/>
    <n v="21320"/>
  </r>
  <r>
    <x v="75"/>
    <x v="18"/>
    <x v="2"/>
    <x v="2"/>
    <n v="1"/>
    <n v="800"/>
    <n v="800"/>
  </r>
  <r>
    <x v="983"/>
    <x v="18"/>
    <x v="3"/>
    <x v="3"/>
    <n v="73"/>
    <n v="950"/>
    <n v="69350"/>
  </r>
  <r>
    <x v="984"/>
    <x v="18"/>
    <x v="0"/>
    <x v="4"/>
    <n v="27"/>
    <n v="450"/>
    <n v="12150"/>
  </r>
  <r>
    <x v="190"/>
    <x v="18"/>
    <x v="3"/>
    <x v="3"/>
    <n v="107"/>
    <n v="950"/>
    <n v="101650"/>
  </r>
  <r>
    <x v="334"/>
    <x v="18"/>
    <x v="3"/>
    <x v="2"/>
    <n v="80"/>
    <n v="800"/>
    <n v="64000"/>
  </r>
  <r>
    <x v="985"/>
    <x v="18"/>
    <x v="4"/>
    <x v="0"/>
    <n v="209"/>
    <n v="650"/>
    <n v="135850"/>
  </r>
  <r>
    <x v="557"/>
    <x v="18"/>
    <x v="5"/>
    <x v="1"/>
    <n v="40"/>
    <n v="1200"/>
    <n v="48000"/>
  </r>
  <r>
    <x v="573"/>
    <x v="18"/>
    <x v="2"/>
    <x v="2"/>
    <n v="8"/>
    <n v="800"/>
    <n v="6400"/>
  </r>
  <r>
    <x v="694"/>
    <x v="18"/>
    <x v="3"/>
    <x v="3"/>
    <n v="87"/>
    <n v="820"/>
    <n v="71340"/>
  </r>
  <r>
    <x v="733"/>
    <x v="18"/>
    <x v="0"/>
    <x v="3"/>
    <n v="21"/>
    <n v="820"/>
    <n v="17220"/>
  </r>
  <r>
    <x v="45"/>
    <x v="18"/>
    <x v="4"/>
    <x v="3"/>
    <n v="20"/>
    <n v="820"/>
    <n v="16400"/>
  </r>
  <r>
    <x v="986"/>
    <x v="18"/>
    <x v="1"/>
    <x v="1"/>
    <n v="53"/>
    <n v="1200"/>
    <n v="63600"/>
  </r>
  <r>
    <x v="987"/>
    <x v="18"/>
    <x v="1"/>
    <x v="3"/>
    <n v="5"/>
    <n v="820"/>
    <n v="4100"/>
  </r>
  <r>
    <x v="180"/>
    <x v="18"/>
    <x v="0"/>
    <x v="2"/>
    <n v="6"/>
    <n v="800"/>
    <n v="4800"/>
  </r>
  <r>
    <x v="988"/>
    <x v="18"/>
    <x v="2"/>
    <x v="3"/>
    <n v="3"/>
    <n v="820"/>
    <n v="2460"/>
  </r>
  <r>
    <x v="989"/>
    <x v="18"/>
    <x v="2"/>
    <x v="3"/>
    <n v="6"/>
    <n v="950"/>
    <n v="5700"/>
  </r>
  <r>
    <x v="990"/>
    <x v="18"/>
    <x v="2"/>
    <x v="3"/>
    <n v="1"/>
    <n v="950"/>
    <n v="950"/>
  </r>
  <r>
    <x v="835"/>
    <x v="18"/>
    <x v="2"/>
    <x v="3"/>
    <n v="5"/>
    <n v="820"/>
    <n v="4100"/>
  </r>
  <r>
    <x v="991"/>
    <x v="18"/>
    <x v="3"/>
    <x v="4"/>
    <n v="3"/>
    <n v="450"/>
    <n v="1350"/>
  </r>
  <r>
    <x v="992"/>
    <x v="18"/>
    <x v="0"/>
    <x v="3"/>
    <n v="111"/>
    <n v="820"/>
    <n v="91020"/>
  </r>
  <r>
    <x v="993"/>
    <x v="18"/>
    <x v="2"/>
    <x v="1"/>
    <n v="33"/>
    <n v="1200"/>
    <n v="39600"/>
  </r>
  <r>
    <x v="648"/>
    <x v="18"/>
    <x v="3"/>
    <x v="4"/>
    <n v="2"/>
    <n v="450"/>
    <n v="900"/>
  </r>
  <r>
    <x v="994"/>
    <x v="18"/>
    <x v="5"/>
    <x v="3"/>
    <n v="171"/>
    <n v="820"/>
    <n v="140220"/>
  </r>
  <r>
    <x v="526"/>
    <x v="18"/>
    <x v="3"/>
    <x v="2"/>
    <n v="11"/>
    <n v="800"/>
    <n v="8800"/>
  </r>
  <r>
    <x v="685"/>
    <x v="18"/>
    <x v="2"/>
    <x v="3"/>
    <n v="6"/>
    <n v="950"/>
    <n v="5700"/>
  </r>
  <r>
    <x v="2"/>
    <x v="18"/>
    <x v="5"/>
    <x v="1"/>
    <n v="44"/>
    <n v="1200"/>
    <n v="52800"/>
  </r>
  <r>
    <x v="632"/>
    <x v="18"/>
    <x v="4"/>
    <x v="3"/>
    <n v="41"/>
    <n v="950"/>
    <n v="38950"/>
  </r>
  <r>
    <x v="995"/>
    <x v="18"/>
    <x v="2"/>
    <x v="1"/>
    <n v="27"/>
    <n v="1200"/>
    <n v="32400"/>
  </r>
  <r>
    <x v="757"/>
    <x v="18"/>
    <x v="5"/>
    <x v="4"/>
    <n v="17"/>
    <n v="450"/>
    <n v="7650"/>
  </r>
  <r>
    <x v="486"/>
    <x v="18"/>
    <x v="5"/>
    <x v="3"/>
    <n v="37"/>
    <n v="820"/>
    <n v="30340"/>
  </r>
  <r>
    <x v="996"/>
    <x v="18"/>
    <x v="0"/>
    <x v="4"/>
    <n v="67"/>
    <n v="450"/>
    <n v="30150"/>
  </r>
  <r>
    <x v="350"/>
    <x v="18"/>
    <x v="3"/>
    <x v="2"/>
    <n v="26"/>
    <n v="800"/>
    <n v="20800"/>
  </r>
  <r>
    <x v="712"/>
    <x v="18"/>
    <x v="5"/>
    <x v="3"/>
    <n v="36"/>
    <n v="820"/>
    <n v="29520"/>
  </r>
  <r>
    <x v="120"/>
    <x v="18"/>
    <x v="0"/>
    <x v="1"/>
    <n v="38"/>
    <n v="1200"/>
    <n v="45600"/>
  </r>
  <r>
    <x v="341"/>
    <x v="18"/>
    <x v="3"/>
    <x v="3"/>
    <n v="62"/>
    <n v="820"/>
    <n v="50840"/>
  </r>
  <r>
    <x v="40"/>
    <x v="18"/>
    <x v="5"/>
    <x v="3"/>
    <n v="83"/>
    <n v="950"/>
    <n v="78850"/>
  </r>
  <r>
    <x v="404"/>
    <x v="18"/>
    <x v="4"/>
    <x v="3"/>
    <n v="30"/>
    <n v="820"/>
    <n v="24600"/>
  </r>
  <r>
    <x v="103"/>
    <x v="18"/>
    <x v="1"/>
    <x v="3"/>
    <n v="30"/>
    <n v="820"/>
    <n v="24600"/>
  </r>
  <r>
    <x v="997"/>
    <x v="18"/>
    <x v="5"/>
    <x v="1"/>
    <n v="36"/>
    <n v="1200"/>
    <n v="43200"/>
  </r>
  <r>
    <x v="107"/>
    <x v="18"/>
    <x v="0"/>
    <x v="0"/>
    <n v="33"/>
    <n v="650"/>
    <n v="21450"/>
  </r>
  <r>
    <x v="998"/>
    <x v="18"/>
    <x v="4"/>
    <x v="2"/>
    <n v="169"/>
    <n v="800"/>
    <n v="135200"/>
  </r>
  <r>
    <x v="272"/>
    <x v="18"/>
    <x v="0"/>
    <x v="3"/>
    <n v="25"/>
    <n v="820"/>
    <n v="20500"/>
  </r>
  <r>
    <x v="303"/>
    <x v="18"/>
    <x v="4"/>
    <x v="2"/>
    <n v="15"/>
    <n v="800"/>
    <n v="12000"/>
  </r>
  <r>
    <x v="723"/>
    <x v="18"/>
    <x v="5"/>
    <x v="3"/>
    <n v="24"/>
    <n v="820"/>
    <n v="19680"/>
  </r>
  <r>
    <x v="794"/>
    <x v="18"/>
    <x v="4"/>
    <x v="4"/>
    <n v="75"/>
    <n v="450"/>
    <n v="33750"/>
  </r>
  <r>
    <x v="999"/>
    <x v="18"/>
    <x v="5"/>
    <x v="1"/>
    <n v="68"/>
    <n v="1200"/>
    <n v="81600"/>
  </r>
  <r>
    <x v="1000"/>
    <x v="18"/>
    <x v="3"/>
    <x v="0"/>
    <n v="40"/>
    <n v="650"/>
    <n v="26000"/>
  </r>
  <r>
    <x v="334"/>
    <x v="18"/>
    <x v="1"/>
    <x v="1"/>
    <n v="39"/>
    <n v="1200"/>
    <n v="46800"/>
  </r>
  <r>
    <x v="1001"/>
    <x v="18"/>
    <x v="2"/>
    <x v="3"/>
    <n v="13"/>
    <n v="950"/>
    <n v="12350"/>
  </r>
  <r>
    <x v="1002"/>
    <x v="18"/>
    <x v="5"/>
    <x v="2"/>
    <n v="126"/>
    <n v="800"/>
    <n v="100800"/>
  </r>
  <r>
    <x v="1003"/>
    <x v="18"/>
    <x v="0"/>
    <x v="3"/>
    <n v="93"/>
    <n v="950"/>
    <n v="88350"/>
  </r>
  <r>
    <x v="477"/>
    <x v="18"/>
    <x v="3"/>
    <x v="3"/>
    <n v="61"/>
    <n v="950"/>
    <n v="57950"/>
  </r>
  <r>
    <x v="1004"/>
    <x v="19"/>
    <x v="4"/>
    <x v="2"/>
    <n v="6"/>
    <n v="800"/>
    <n v="4800"/>
  </r>
  <r>
    <x v="487"/>
    <x v="19"/>
    <x v="0"/>
    <x v="3"/>
    <n v="20"/>
    <n v="950"/>
    <n v="19000"/>
  </r>
  <r>
    <x v="160"/>
    <x v="19"/>
    <x v="5"/>
    <x v="0"/>
    <n v="143"/>
    <n v="650"/>
    <n v="92950"/>
  </r>
  <r>
    <x v="732"/>
    <x v="19"/>
    <x v="5"/>
    <x v="1"/>
    <n v="66"/>
    <n v="1200"/>
    <n v="79200"/>
  </r>
  <r>
    <x v="507"/>
    <x v="19"/>
    <x v="2"/>
    <x v="1"/>
    <n v="12"/>
    <n v="1200"/>
    <n v="14400"/>
  </r>
  <r>
    <x v="77"/>
    <x v="19"/>
    <x v="0"/>
    <x v="2"/>
    <n v="27"/>
    <n v="800"/>
    <n v="21600"/>
  </r>
  <r>
    <x v="571"/>
    <x v="19"/>
    <x v="5"/>
    <x v="4"/>
    <n v="5"/>
    <n v="450"/>
    <n v="2250"/>
  </r>
  <r>
    <x v="479"/>
    <x v="19"/>
    <x v="1"/>
    <x v="0"/>
    <n v="14"/>
    <n v="650"/>
    <n v="9100"/>
  </r>
  <r>
    <x v="498"/>
    <x v="19"/>
    <x v="4"/>
    <x v="4"/>
    <n v="70"/>
    <n v="450"/>
    <n v="31500"/>
  </r>
  <r>
    <x v="32"/>
    <x v="19"/>
    <x v="1"/>
    <x v="2"/>
    <n v="9"/>
    <n v="800"/>
    <n v="7200"/>
  </r>
  <r>
    <x v="60"/>
    <x v="19"/>
    <x v="2"/>
    <x v="4"/>
    <n v="21"/>
    <n v="450"/>
    <n v="9450"/>
  </r>
  <r>
    <x v="633"/>
    <x v="19"/>
    <x v="0"/>
    <x v="3"/>
    <n v="70"/>
    <n v="820"/>
    <n v="57400"/>
  </r>
  <r>
    <x v="1005"/>
    <x v="19"/>
    <x v="2"/>
    <x v="3"/>
    <n v="21"/>
    <n v="950"/>
    <n v="19950"/>
  </r>
  <r>
    <x v="699"/>
    <x v="19"/>
    <x v="5"/>
    <x v="4"/>
    <n v="3"/>
    <n v="450"/>
    <n v="1350"/>
  </r>
  <r>
    <x v="1006"/>
    <x v="19"/>
    <x v="4"/>
    <x v="4"/>
    <n v="143"/>
    <n v="450"/>
    <n v="64350"/>
  </r>
  <r>
    <x v="503"/>
    <x v="19"/>
    <x v="1"/>
    <x v="3"/>
    <n v="12"/>
    <n v="820"/>
    <n v="9840"/>
  </r>
  <r>
    <x v="763"/>
    <x v="19"/>
    <x v="1"/>
    <x v="2"/>
    <n v="15"/>
    <n v="800"/>
    <n v="12000"/>
  </r>
  <r>
    <x v="331"/>
    <x v="19"/>
    <x v="1"/>
    <x v="1"/>
    <n v="28"/>
    <n v="1200"/>
    <n v="33600"/>
  </r>
  <r>
    <x v="79"/>
    <x v="19"/>
    <x v="3"/>
    <x v="4"/>
    <n v="51"/>
    <n v="450"/>
    <n v="22950"/>
  </r>
  <r>
    <x v="676"/>
    <x v="19"/>
    <x v="1"/>
    <x v="1"/>
    <n v="13"/>
    <n v="1200"/>
    <n v="15600"/>
  </r>
  <r>
    <x v="146"/>
    <x v="19"/>
    <x v="1"/>
    <x v="1"/>
    <n v="51"/>
    <n v="1200"/>
    <n v="61200"/>
  </r>
  <r>
    <x v="260"/>
    <x v="19"/>
    <x v="0"/>
    <x v="1"/>
    <n v="92"/>
    <n v="1200"/>
    <n v="110400"/>
  </r>
  <r>
    <x v="741"/>
    <x v="19"/>
    <x v="0"/>
    <x v="4"/>
    <n v="8"/>
    <n v="450"/>
    <n v="3600"/>
  </r>
  <r>
    <x v="1007"/>
    <x v="19"/>
    <x v="3"/>
    <x v="3"/>
    <n v="38"/>
    <n v="820"/>
    <n v="31160"/>
  </r>
  <r>
    <x v="1008"/>
    <x v="19"/>
    <x v="4"/>
    <x v="0"/>
    <n v="136"/>
    <n v="650"/>
    <n v="88400"/>
  </r>
  <r>
    <x v="1009"/>
    <x v="19"/>
    <x v="3"/>
    <x v="0"/>
    <n v="64"/>
    <n v="650"/>
    <n v="41600"/>
  </r>
  <r>
    <x v="1010"/>
    <x v="19"/>
    <x v="4"/>
    <x v="4"/>
    <n v="28"/>
    <n v="450"/>
    <n v="12600"/>
  </r>
  <r>
    <x v="1011"/>
    <x v="19"/>
    <x v="4"/>
    <x v="1"/>
    <n v="30"/>
    <n v="1200"/>
    <n v="36000"/>
  </r>
  <r>
    <x v="454"/>
    <x v="19"/>
    <x v="3"/>
    <x v="0"/>
    <n v="51"/>
    <n v="650"/>
    <n v="33150"/>
  </r>
  <r>
    <x v="512"/>
    <x v="19"/>
    <x v="2"/>
    <x v="2"/>
    <n v="12"/>
    <n v="800"/>
    <n v="9600"/>
  </r>
  <r>
    <x v="588"/>
    <x v="19"/>
    <x v="2"/>
    <x v="3"/>
    <n v="6"/>
    <n v="950"/>
    <n v="5700"/>
  </r>
  <r>
    <x v="152"/>
    <x v="19"/>
    <x v="1"/>
    <x v="4"/>
    <n v="17"/>
    <n v="450"/>
    <n v="7650"/>
  </r>
  <r>
    <x v="905"/>
    <x v="19"/>
    <x v="3"/>
    <x v="3"/>
    <n v="25"/>
    <n v="820"/>
    <n v="20500"/>
  </r>
  <r>
    <x v="401"/>
    <x v="19"/>
    <x v="4"/>
    <x v="4"/>
    <n v="122"/>
    <n v="450"/>
    <n v="54900"/>
  </r>
  <r>
    <x v="306"/>
    <x v="19"/>
    <x v="5"/>
    <x v="2"/>
    <n v="13"/>
    <n v="800"/>
    <n v="10400"/>
  </r>
  <r>
    <x v="66"/>
    <x v="19"/>
    <x v="4"/>
    <x v="4"/>
    <n v="103"/>
    <n v="450"/>
    <n v="46350"/>
  </r>
  <r>
    <x v="1012"/>
    <x v="19"/>
    <x v="3"/>
    <x v="3"/>
    <n v="43"/>
    <n v="820"/>
    <n v="35260"/>
  </r>
  <r>
    <x v="913"/>
    <x v="19"/>
    <x v="0"/>
    <x v="1"/>
    <n v="98"/>
    <n v="1200"/>
    <n v="117600"/>
  </r>
  <r>
    <x v="965"/>
    <x v="19"/>
    <x v="5"/>
    <x v="3"/>
    <n v="48"/>
    <n v="950"/>
    <n v="45600"/>
  </r>
  <r>
    <x v="1013"/>
    <x v="19"/>
    <x v="2"/>
    <x v="0"/>
    <n v="7"/>
    <n v="650"/>
    <n v="4550"/>
  </r>
  <r>
    <x v="1014"/>
    <x v="19"/>
    <x v="1"/>
    <x v="0"/>
    <n v="2"/>
    <n v="650"/>
    <n v="1300"/>
  </r>
  <r>
    <x v="296"/>
    <x v="19"/>
    <x v="3"/>
    <x v="0"/>
    <n v="157"/>
    <n v="650"/>
    <n v="102050"/>
  </r>
  <r>
    <x v="231"/>
    <x v="19"/>
    <x v="4"/>
    <x v="1"/>
    <n v="24"/>
    <n v="1200"/>
    <n v="28800"/>
  </r>
  <r>
    <x v="172"/>
    <x v="19"/>
    <x v="3"/>
    <x v="1"/>
    <n v="114"/>
    <n v="1200"/>
    <n v="136800"/>
  </r>
  <r>
    <x v="1015"/>
    <x v="19"/>
    <x v="3"/>
    <x v="2"/>
    <n v="53"/>
    <n v="800"/>
    <n v="42400"/>
  </r>
  <r>
    <x v="730"/>
    <x v="19"/>
    <x v="4"/>
    <x v="3"/>
    <n v="175"/>
    <n v="950"/>
    <n v="166250"/>
  </r>
  <r>
    <x v="900"/>
    <x v="19"/>
    <x v="3"/>
    <x v="4"/>
    <n v="39"/>
    <n v="450"/>
    <n v="17550"/>
  </r>
  <r>
    <x v="1016"/>
    <x v="19"/>
    <x v="4"/>
    <x v="1"/>
    <n v="66"/>
    <n v="1200"/>
    <n v="79200"/>
  </r>
  <r>
    <x v="1017"/>
    <x v="19"/>
    <x v="5"/>
    <x v="3"/>
    <n v="193"/>
    <n v="820"/>
    <n v="15826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7">
  <r>
    <x v="0"/>
    <x v="0"/>
    <x v="0"/>
    <x v="0"/>
    <n v="13"/>
    <n v="650"/>
    <n v="8450"/>
  </r>
  <r>
    <x v="1"/>
    <x v="0"/>
    <x v="1"/>
    <x v="1"/>
    <e v="#NAME?"/>
    <n v="1200"/>
    <e v="#NAME?"/>
  </r>
  <r>
    <x v="2"/>
    <x v="0"/>
    <x v="2"/>
    <x v="1"/>
    <n v="20"/>
    <n v="1200"/>
    <n v="24000"/>
  </r>
  <r>
    <x v="3"/>
    <x v="0"/>
    <x v="3"/>
    <x v="2"/>
    <n v="64"/>
    <n v="800"/>
    <n v="51200"/>
  </r>
  <r>
    <x v="4"/>
    <x v="0"/>
    <x v="0"/>
    <x v="2"/>
    <n v="58"/>
    <n v="800"/>
    <n v="46400"/>
  </r>
  <r>
    <x v="5"/>
    <x v="0"/>
    <x v="2"/>
    <x v="2"/>
    <n v="18"/>
    <n v="800"/>
    <n v="14400"/>
  </r>
  <r>
    <x v="6"/>
    <x v="0"/>
    <x v="2"/>
    <x v="3"/>
    <n v="9"/>
    <n v="950"/>
    <n v="8550"/>
  </r>
  <r>
    <x v="7"/>
    <x v="0"/>
    <x v="2"/>
    <x v="4"/>
    <n v="18"/>
    <n v="450"/>
    <n v="8100"/>
  </r>
  <r>
    <x v="8"/>
    <x v="0"/>
    <x v="4"/>
    <x v="0"/>
    <n v="51"/>
    <n v="650"/>
    <n v="33150"/>
  </r>
  <r>
    <x v="9"/>
    <x v="0"/>
    <x v="4"/>
    <x v="2"/>
    <n v="27"/>
    <n v="800"/>
    <n v="21600"/>
  </r>
  <r>
    <x v="10"/>
    <x v="0"/>
    <x v="5"/>
    <x v="2"/>
    <n v="26"/>
    <n v="800"/>
    <n v="20800"/>
  </r>
  <r>
    <x v="11"/>
    <x v="0"/>
    <x v="4"/>
    <x v="1"/>
    <n v="36"/>
    <n v="1200"/>
    <n v="43200"/>
  </r>
  <r>
    <x v="12"/>
    <x v="0"/>
    <x v="0"/>
    <x v="3"/>
    <n v="27"/>
    <n v="950"/>
    <n v="25650"/>
  </r>
  <r>
    <x v="13"/>
    <x v="0"/>
    <x v="2"/>
    <x v="3"/>
    <n v="13"/>
    <n v="950"/>
    <n v="12350"/>
  </r>
  <r>
    <x v="14"/>
    <x v="0"/>
    <x v="4"/>
    <x v="3"/>
    <n v="1"/>
    <n v="820"/>
    <n v="820"/>
  </r>
  <r>
    <x v="15"/>
    <x v="0"/>
    <x v="2"/>
    <x v="3"/>
    <n v="1"/>
    <n v="820"/>
    <n v="820"/>
  </r>
  <r>
    <x v="16"/>
    <x v="0"/>
    <x v="5"/>
    <x v="3"/>
    <n v="24"/>
    <n v="820"/>
    <n v="19680"/>
  </r>
  <r>
    <x v="17"/>
    <x v="0"/>
    <x v="2"/>
    <x v="3"/>
    <n v="11"/>
    <n v="820"/>
    <n v="9020"/>
  </r>
  <r>
    <x v="18"/>
    <x v="0"/>
    <x v="0"/>
    <x v="1"/>
    <n v="63"/>
    <n v="1200"/>
    <n v="75600"/>
  </r>
  <r>
    <x v="19"/>
    <x v="0"/>
    <x v="5"/>
    <x v="3"/>
    <n v="17"/>
    <n v="820"/>
    <n v="13940"/>
  </r>
  <r>
    <x v="20"/>
    <x v="0"/>
    <x v="0"/>
    <x v="3"/>
    <n v="116"/>
    <n v="950"/>
    <n v="110200"/>
  </r>
  <r>
    <x v="21"/>
    <x v="0"/>
    <x v="3"/>
    <x v="3"/>
    <n v="27"/>
    <n v="820"/>
    <n v="22140"/>
  </r>
  <r>
    <x v="22"/>
    <x v="0"/>
    <x v="0"/>
    <x v="3"/>
    <n v="41"/>
    <n v="950"/>
    <n v="38950"/>
  </r>
  <r>
    <x v="23"/>
    <x v="0"/>
    <x v="5"/>
    <x v="2"/>
    <n v="6"/>
    <n v="800"/>
    <n v="4800"/>
  </r>
  <r>
    <x v="24"/>
    <x v="0"/>
    <x v="4"/>
    <x v="1"/>
    <n v="130"/>
    <n v="1200"/>
    <n v="156000"/>
  </r>
  <r>
    <x v="25"/>
    <x v="0"/>
    <x v="1"/>
    <x v="2"/>
    <n v="44"/>
    <n v="800"/>
    <n v="35200"/>
  </r>
  <r>
    <x v="26"/>
    <x v="0"/>
    <x v="1"/>
    <x v="2"/>
    <n v="4"/>
    <n v="800"/>
    <n v="3200"/>
  </r>
  <r>
    <x v="27"/>
    <x v="0"/>
    <x v="3"/>
    <x v="3"/>
    <n v="108"/>
    <n v="820"/>
    <n v="88560"/>
  </r>
  <r>
    <x v="28"/>
    <x v="0"/>
    <x v="5"/>
    <x v="3"/>
    <n v="58"/>
    <n v="820"/>
    <n v="47560"/>
  </r>
  <r>
    <x v="29"/>
    <x v="0"/>
    <x v="5"/>
    <x v="0"/>
    <n v="42"/>
    <n v="650"/>
    <n v="27300"/>
  </r>
  <r>
    <x v="30"/>
    <x v="0"/>
    <x v="5"/>
    <x v="2"/>
    <n v="69"/>
    <n v="800"/>
    <n v="55200"/>
  </r>
  <r>
    <x v="31"/>
    <x v="0"/>
    <x v="0"/>
    <x v="0"/>
    <n v="69"/>
    <n v="650"/>
    <n v="44850"/>
  </r>
  <r>
    <x v="32"/>
    <x v="0"/>
    <x v="4"/>
    <x v="1"/>
    <n v="64"/>
    <n v="1200"/>
    <n v="76800"/>
  </r>
  <r>
    <x v="33"/>
    <x v="0"/>
    <x v="5"/>
    <x v="2"/>
    <n v="41"/>
    <n v="800"/>
    <n v="32800"/>
  </r>
  <r>
    <x v="34"/>
    <x v="0"/>
    <x v="2"/>
    <x v="2"/>
    <n v="14"/>
    <n v="800"/>
    <n v="11200"/>
  </r>
  <r>
    <x v="35"/>
    <x v="0"/>
    <x v="4"/>
    <x v="2"/>
    <n v="9"/>
    <n v="800"/>
    <n v="7200"/>
  </r>
  <r>
    <x v="36"/>
    <x v="0"/>
    <x v="5"/>
    <x v="2"/>
    <n v="79"/>
    <n v="800"/>
    <n v="63200"/>
  </r>
  <r>
    <x v="37"/>
    <x v="0"/>
    <x v="1"/>
    <x v="3"/>
    <n v="8"/>
    <n v="820"/>
    <n v="6560"/>
  </r>
  <r>
    <x v="38"/>
    <x v="0"/>
    <x v="1"/>
    <x v="1"/>
    <n v="28"/>
    <n v="1200"/>
    <n v="33600"/>
  </r>
  <r>
    <x v="39"/>
    <x v="0"/>
    <x v="3"/>
    <x v="3"/>
    <n v="13"/>
    <n v="950"/>
    <n v="12350"/>
  </r>
  <r>
    <x v="40"/>
    <x v="0"/>
    <x v="2"/>
    <x v="2"/>
    <n v="7"/>
    <n v="800"/>
    <n v="5600"/>
  </r>
  <r>
    <x v="41"/>
    <x v="0"/>
    <x v="3"/>
    <x v="2"/>
    <n v="20"/>
    <n v="800"/>
    <n v="16000"/>
  </r>
  <r>
    <x v="42"/>
    <x v="0"/>
    <x v="1"/>
    <x v="1"/>
    <n v="31"/>
    <n v="1200"/>
    <n v="37200"/>
  </r>
  <r>
    <x v="43"/>
    <x v="0"/>
    <x v="4"/>
    <x v="2"/>
    <n v="66"/>
    <n v="800"/>
    <n v="52800"/>
  </r>
  <r>
    <x v="44"/>
    <x v="0"/>
    <x v="3"/>
    <x v="2"/>
    <n v="42"/>
    <n v="800"/>
    <n v="33600"/>
  </r>
  <r>
    <x v="45"/>
    <x v="0"/>
    <x v="3"/>
    <x v="2"/>
    <n v="38"/>
    <n v="800"/>
    <n v="30400"/>
  </r>
  <r>
    <x v="46"/>
    <x v="0"/>
    <x v="3"/>
    <x v="2"/>
    <n v="70"/>
    <n v="800"/>
    <n v="56000"/>
  </r>
  <r>
    <x v="47"/>
    <x v="0"/>
    <x v="5"/>
    <x v="0"/>
    <n v="226"/>
    <n v="650"/>
    <n v="146900"/>
  </r>
  <r>
    <x v="48"/>
    <x v="0"/>
    <x v="4"/>
    <x v="1"/>
    <n v="83"/>
    <n v="1200"/>
    <n v="99600"/>
  </r>
  <r>
    <x v="49"/>
    <x v="0"/>
    <x v="5"/>
    <x v="3"/>
    <n v="70"/>
    <n v="820"/>
    <n v="57400"/>
  </r>
  <r>
    <x v="50"/>
    <x v="0"/>
    <x v="1"/>
    <x v="1"/>
    <n v="15"/>
    <n v="1200"/>
    <n v="18000"/>
  </r>
  <r>
    <x v="51"/>
    <x v="0"/>
    <x v="1"/>
    <x v="1"/>
    <n v="89"/>
    <n v="1200"/>
    <n v="106800"/>
  </r>
  <r>
    <x v="52"/>
    <x v="0"/>
    <x v="0"/>
    <x v="1"/>
    <n v="87"/>
    <n v="1200"/>
    <n v="104400"/>
  </r>
  <r>
    <x v="53"/>
    <x v="0"/>
    <x v="2"/>
    <x v="3"/>
    <n v="17"/>
    <n v="820"/>
    <n v="13940"/>
  </r>
  <r>
    <x v="54"/>
    <x v="0"/>
    <x v="4"/>
    <x v="0"/>
    <n v="107"/>
    <n v="650"/>
    <n v="69550"/>
  </r>
  <r>
    <x v="55"/>
    <x v="0"/>
    <x v="2"/>
    <x v="2"/>
    <n v="3"/>
    <n v="800"/>
    <n v="2400"/>
  </r>
  <r>
    <x v="56"/>
    <x v="0"/>
    <x v="0"/>
    <x v="3"/>
    <n v="59"/>
    <n v="820"/>
    <n v="48380"/>
  </r>
  <r>
    <x v="57"/>
    <x v="0"/>
    <x v="0"/>
    <x v="1"/>
    <n v="34"/>
    <n v="1200"/>
    <n v="40800"/>
  </r>
  <r>
    <x v="58"/>
    <x v="0"/>
    <x v="4"/>
    <x v="2"/>
    <n v="62"/>
    <n v="800"/>
    <n v="49600"/>
  </r>
  <r>
    <x v="59"/>
    <x v="0"/>
    <x v="1"/>
    <x v="2"/>
    <n v="55"/>
    <n v="800"/>
    <n v="44000"/>
  </r>
  <r>
    <x v="60"/>
    <x v="0"/>
    <x v="4"/>
    <x v="3"/>
    <n v="44"/>
    <n v="820"/>
    <n v="36080"/>
  </r>
  <r>
    <x v="61"/>
    <x v="0"/>
    <x v="1"/>
    <x v="3"/>
    <n v="7"/>
    <n v="820"/>
    <n v="5740"/>
  </r>
  <r>
    <x v="62"/>
    <x v="0"/>
    <x v="5"/>
    <x v="1"/>
    <n v="187"/>
    <n v="1200"/>
    <n v="224400"/>
  </r>
  <r>
    <x v="14"/>
    <x v="0"/>
    <x v="3"/>
    <x v="3"/>
    <n v="18"/>
    <n v="950"/>
    <n v="17100"/>
  </r>
  <r>
    <x v="63"/>
    <x v="1"/>
    <x v="3"/>
    <x v="1"/>
    <n v="70"/>
    <n v="1200"/>
    <n v="84000"/>
  </r>
  <r>
    <x v="64"/>
    <x v="1"/>
    <x v="2"/>
    <x v="1"/>
    <n v="18"/>
    <n v="1200"/>
    <n v="21600"/>
  </r>
  <r>
    <x v="65"/>
    <x v="1"/>
    <x v="3"/>
    <x v="2"/>
    <n v="118"/>
    <n v="800"/>
    <n v="94400"/>
  </r>
  <r>
    <x v="66"/>
    <x v="1"/>
    <x v="0"/>
    <x v="3"/>
    <n v="21"/>
    <n v="950"/>
    <n v="19950"/>
  </r>
  <r>
    <x v="67"/>
    <x v="1"/>
    <x v="4"/>
    <x v="3"/>
    <n v="36"/>
    <n v="950"/>
    <n v="34200"/>
  </r>
  <r>
    <x v="68"/>
    <x v="1"/>
    <x v="0"/>
    <x v="4"/>
    <n v="55"/>
    <n v="450"/>
    <n v="24750"/>
  </r>
  <r>
    <x v="69"/>
    <x v="1"/>
    <x v="0"/>
    <x v="0"/>
    <n v="83"/>
    <n v="650"/>
    <n v="53950"/>
  </r>
  <r>
    <x v="70"/>
    <x v="1"/>
    <x v="4"/>
    <x v="4"/>
    <n v="28"/>
    <n v="450"/>
    <n v="12600"/>
  </r>
  <r>
    <x v="71"/>
    <x v="1"/>
    <x v="4"/>
    <x v="3"/>
    <n v="233"/>
    <n v="950"/>
    <n v="221350"/>
  </r>
  <r>
    <x v="72"/>
    <x v="1"/>
    <x v="1"/>
    <x v="3"/>
    <n v="26"/>
    <n v="820"/>
    <n v="21320"/>
  </r>
  <r>
    <x v="73"/>
    <x v="1"/>
    <x v="3"/>
    <x v="0"/>
    <n v="44"/>
    <n v="650"/>
    <n v="28600"/>
  </r>
  <r>
    <x v="34"/>
    <x v="1"/>
    <x v="3"/>
    <x v="1"/>
    <n v="48"/>
    <n v="1200"/>
    <n v="57600"/>
  </r>
  <r>
    <x v="74"/>
    <x v="1"/>
    <x v="2"/>
    <x v="3"/>
    <n v="6"/>
    <n v="820"/>
    <n v="4920"/>
  </r>
  <r>
    <x v="16"/>
    <x v="1"/>
    <x v="1"/>
    <x v="1"/>
    <n v="70"/>
    <n v="1200"/>
    <n v="84000"/>
  </r>
  <r>
    <x v="75"/>
    <x v="1"/>
    <x v="5"/>
    <x v="3"/>
    <n v="25"/>
    <n v="820"/>
    <n v="20500"/>
  </r>
  <r>
    <x v="76"/>
    <x v="1"/>
    <x v="0"/>
    <x v="2"/>
    <n v="107"/>
    <n v="800"/>
    <n v="85600"/>
  </r>
  <r>
    <x v="77"/>
    <x v="1"/>
    <x v="0"/>
    <x v="3"/>
    <n v="10"/>
    <n v="820"/>
    <n v="8200"/>
  </r>
  <r>
    <x v="78"/>
    <x v="1"/>
    <x v="4"/>
    <x v="4"/>
    <n v="23"/>
    <n v="450"/>
    <n v="10350"/>
  </r>
  <r>
    <x v="79"/>
    <x v="1"/>
    <x v="0"/>
    <x v="3"/>
    <n v="75"/>
    <n v="820"/>
    <n v="61500"/>
  </r>
  <r>
    <x v="80"/>
    <x v="1"/>
    <x v="5"/>
    <x v="2"/>
    <n v="208"/>
    <n v="800"/>
    <n v="166400"/>
  </r>
  <r>
    <x v="81"/>
    <x v="1"/>
    <x v="4"/>
    <x v="1"/>
    <n v="161"/>
    <n v="1200"/>
    <n v="193200"/>
  </r>
  <r>
    <x v="82"/>
    <x v="1"/>
    <x v="4"/>
    <x v="2"/>
    <n v="91"/>
    <n v="800"/>
    <n v="72800"/>
  </r>
  <r>
    <x v="83"/>
    <x v="1"/>
    <x v="0"/>
    <x v="2"/>
    <n v="7"/>
    <n v="800"/>
    <n v="5600"/>
  </r>
  <r>
    <x v="84"/>
    <x v="1"/>
    <x v="4"/>
    <x v="3"/>
    <n v="22"/>
    <n v="820"/>
    <n v="18040"/>
  </r>
  <r>
    <x v="85"/>
    <x v="1"/>
    <x v="3"/>
    <x v="0"/>
    <n v="36"/>
    <n v="650"/>
    <n v="23400"/>
  </r>
  <r>
    <x v="86"/>
    <x v="1"/>
    <x v="5"/>
    <x v="2"/>
    <n v="112"/>
    <n v="800"/>
    <n v="89600"/>
  </r>
  <r>
    <x v="87"/>
    <x v="1"/>
    <x v="2"/>
    <x v="3"/>
    <n v="15"/>
    <n v="820"/>
    <n v="12300"/>
  </r>
  <r>
    <x v="88"/>
    <x v="1"/>
    <x v="5"/>
    <x v="3"/>
    <n v="65"/>
    <n v="820"/>
    <n v="53300"/>
  </r>
  <r>
    <x v="89"/>
    <x v="1"/>
    <x v="4"/>
    <x v="2"/>
    <n v="87"/>
    <n v="800"/>
    <n v="69600"/>
  </r>
  <r>
    <x v="90"/>
    <x v="1"/>
    <x v="5"/>
    <x v="2"/>
    <n v="1"/>
    <n v="800"/>
    <n v="800"/>
  </r>
  <r>
    <x v="91"/>
    <x v="1"/>
    <x v="3"/>
    <x v="2"/>
    <n v="57"/>
    <n v="800"/>
    <n v="45600"/>
  </r>
  <r>
    <x v="92"/>
    <x v="1"/>
    <x v="1"/>
    <x v="1"/>
    <n v="22"/>
    <n v="1200"/>
    <n v="26400"/>
  </r>
  <r>
    <x v="93"/>
    <x v="1"/>
    <x v="1"/>
    <x v="0"/>
    <n v="48"/>
    <n v="650"/>
    <n v="31200"/>
  </r>
  <r>
    <x v="94"/>
    <x v="1"/>
    <x v="0"/>
    <x v="2"/>
    <n v="15"/>
    <n v="800"/>
    <n v="12000"/>
  </r>
  <r>
    <x v="29"/>
    <x v="1"/>
    <x v="2"/>
    <x v="0"/>
    <n v="1"/>
    <n v="650"/>
    <n v="650"/>
  </r>
  <r>
    <x v="95"/>
    <x v="1"/>
    <x v="4"/>
    <x v="3"/>
    <n v="56"/>
    <n v="820"/>
    <n v="45920"/>
  </r>
  <r>
    <x v="96"/>
    <x v="1"/>
    <x v="0"/>
    <x v="3"/>
    <n v="6"/>
    <n v="820"/>
    <n v="4920"/>
  </r>
  <r>
    <x v="97"/>
    <x v="1"/>
    <x v="0"/>
    <x v="3"/>
    <n v="114"/>
    <n v="820"/>
    <n v="93480"/>
  </r>
  <r>
    <x v="98"/>
    <x v="1"/>
    <x v="1"/>
    <x v="3"/>
    <n v="16"/>
    <n v="950"/>
    <n v="15200"/>
  </r>
  <r>
    <x v="99"/>
    <x v="1"/>
    <x v="0"/>
    <x v="3"/>
    <n v="59"/>
    <n v="950"/>
    <n v="56050"/>
  </r>
  <r>
    <x v="100"/>
    <x v="1"/>
    <x v="4"/>
    <x v="0"/>
    <n v="9"/>
    <n v="650"/>
    <n v="5850"/>
  </r>
  <r>
    <x v="101"/>
    <x v="1"/>
    <x v="3"/>
    <x v="3"/>
    <n v="105"/>
    <n v="820"/>
    <n v="86100"/>
  </r>
  <r>
    <x v="102"/>
    <x v="1"/>
    <x v="1"/>
    <x v="0"/>
    <n v="6"/>
    <n v="650"/>
    <n v="3900"/>
  </r>
  <r>
    <x v="103"/>
    <x v="1"/>
    <x v="3"/>
    <x v="4"/>
    <n v="47"/>
    <n v="450"/>
    <n v="21150"/>
  </r>
  <r>
    <x v="104"/>
    <x v="1"/>
    <x v="2"/>
    <x v="1"/>
    <n v="16"/>
    <n v="1200"/>
    <n v="19200"/>
  </r>
  <r>
    <x v="105"/>
    <x v="1"/>
    <x v="2"/>
    <x v="0"/>
    <n v="19"/>
    <n v="650"/>
    <n v="12350"/>
  </r>
  <r>
    <x v="106"/>
    <x v="1"/>
    <x v="2"/>
    <x v="1"/>
    <n v="16"/>
    <n v="1200"/>
    <n v="19200"/>
  </r>
  <r>
    <x v="107"/>
    <x v="1"/>
    <x v="4"/>
    <x v="2"/>
    <n v="59"/>
    <n v="800"/>
    <n v="47200"/>
  </r>
  <r>
    <x v="108"/>
    <x v="1"/>
    <x v="4"/>
    <x v="2"/>
    <n v="12"/>
    <n v="800"/>
    <n v="9600"/>
  </r>
  <r>
    <x v="109"/>
    <x v="1"/>
    <x v="0"/>
    <x v="3"/>
    <n v="50"/>
    <n v="950"/>
    <n v="47500"/>
  </r>
  <r>
    <x v="110"/>
    <x v="1"/>
    <x v="2"/>
    <x v="3"/>
    <n v="15"/>
    <n v="820"/>
    <n v="12300"/>
  </r>
  <r>
    <x v="111"/>
    <x v="1"/>
    <x v="2"/>
    <x v="1"/>
    <n v="11"/>
    <n v="1200"/>
    <n v="13200"/>
  </r>
  <r>
    <x v="112"/>
    <x v="1"/>
    <x v="0"/>
    <x v="2"/>
    <n v="24"/>
    <n v="800"/>
    <n v="19200"/>
  </r>
  <r>
    <x v="113"/>
    <x v="1"/>
    <x v="1"/>
    <x v="0"/>
    <n v="9"/>
    <n v="650"/>
    <n v="5850"/>
  </r>
  <r>
    <x v="114"/>
    <x v="1"/>
    <x v="1"/>
    <x v="2"/>
    <n v="7"/>
    <n v="800"/>
    <n v="5600"/>
  </r>
  <r>
    <x v="89"/>
    <x v="1"/>
    <x v="1"/>
    <x v="3"/>
    <n v="31"/>
    <n v="950"/>
    <n v="29450"/>
  </r>
  <r>
    <x v="115"/>
    <x v="1"/>
    <x v="2"/>
    <x v="4"/>
    <n v="29"/>
    <n v="450"/>
    <n v="13050"/>
  </r>
  <r>
    <x v="116"/>
    <x v="2"/>
    <x v="5"/>
    <x v="3"/>
    <n v="36"/>
    <n v="820"/>
    <n v="29520"/>
  </r>
  <r>
    <x v="117"/>
    <x v="2"/>
    <x v="3"/>
    <x v="0"/>
    <n v="16"/>
    <n v="650"/>
    <n v="10400"/>
  </r>
  <r>
    <x v="118"/>
    <x v="2"/>
    <x v="0"/>
    <x v="1"/>
    <n v="56"/>
    <n v="1200"/>
    <n v="67200"/>
  </r>
  <r>
    <x v="119"/>
    <x v="2"/>
    <x v="4"/>
    <x v="1"/>
    <n v="172"/>
    <n v="1200"/>
    <n v="206400"/>
  </r>
  <r>
    <x v="120"/>
    <x v="2"/>
    <x v="1"/>
    <x v="1"/>
    <n v="5"/>
    <n v="1200"/>
    <n v="6000"/>
  </r>
  <r>
    <x v="121"/>
    <x v="2"/>
    <x v="2"/>
    <x v="3"/>
    <n v="42"/>
    <n v="820"/>
    <n v="34440"/>
  </r>
  <r>
    <x v="122"/>
    <x v="2"/>
    <x v="4"/>
    <x v="3"/>
    <n v="52"/>
    <n v="820"/>
    <n v="42640"/>
  </r>
  <r>
    <x v="123"/>
    <x v="2"/>
    <x v="1"/>
    <x v="0"/>
    <n v="22"/>
    <n v="650"/>
    <n v="14300"/>
  </r>
  <r>
    <x v="124"/>
    <x v="2"/>
    <x v="1"/>
    <x v="0"/>
    <n v="21"/>
    <n v="650"/>
    <n v="13650"/>
  </r>
  <r>
    <x v="125"/>
    <x v="2"/>
    <x v="5"/>
    <x v="3"/>
    <n v="37"/>
    <n v="820"/>
    <n v="30340"/>
  </r>
  <r>
    <x v="126"/>
    <x v="2"/>
    <x v="3"/>
    <x v="2"/>
    <n v="34"/>
    <n v="800"/>
    <n v="27200"/>
  </r>
  <r>
    <x v="127"/>
    <x v="2"/>
    <x v="3"/>
    <x v="3"/>
    <n v="32"/>
    <n v="820"/>
    <n v="26240"/>
  </r>
  <r>
    <x v="128"/>
    <x v="2"/>
    <x v="5"/>
    <x v="0"/>
    <n v="88"/>
    <n v="650"/>
    <n v="57200"/>
  </r>
  <r>
    <x v="129"/>
    <x v="2"/>
    <x v="5"/>
    <x v="3"/>
    <n v="20"/>
    <n v="950"/>
    <n v="19000"/>
  </r>
  <r>
    <x v="130"/>
    <x v="2"/>
    <x v="4"/>
    <x v="4"/>
    <n v="29"/>
    <n v="450"/>
    <n v="13050"/>
  </r>
  <r>
    <x v="131"/>
    <x v="2"/>
    <x v="4"/>
    <x v="2"/>
    <n v="128"/>
    <n v="800"/>
    <n v="102400"/>
  </r>
  <r>
    <x v="132"/>
    <x v="2"/>
    <x v="0"/>
    <x v="3"/>
    <n v="86"/>
    <n v="950"/>
    <n v="81700"/>
  </r>
  <r>
    <x v="133"/>
    <x v="2"/>
    <x v="1"/>
    <x v="2"/>
    <n v="19"/>
    <n v="800"/>
    <n v="15200"/>
  </r>
  <r>
    <x v="134"/>
    <x v="2"/>
    <x v="0"/>
    <x v="2"/>
    <n v="77"/>
    <n v="800"/>
    <n v="61600"/>
  </r>
  <r>
    <x v="135"/>
    <x v="2"/>
    <x v="4"/>
    <x v="0"/>
    <n v="58"/>
    <n v="650"/>
    <n v="37700"/>
  </r>
  <r>
    <x v="136"/>
    <x v="2"/>
    <x v="2"/>
    <x v="4"/>
    <n v="11"/>
    <n v="450"/>
    <n v="4950"/>
  </r>
  <r>
    <x v="137"/>
    <x v="2"/>
    <x v="0"/>
    <x v="3"/>
    <n v="19"/>
    <n v="950"/>
    <n v="18050"/>
  </r>
  <r>
    <x v="138"/>
    <x v="2"/>
    <x v="3"/>
    <x v="3"/>
    <n v="46"/>
    <n v="950"/>
    <n v="43700"/>
  </r>
  <r>
    <x v="139"/>
    <x v="2"/>
    <x v="0"/>
    <x v="3"/>
    <n v="108"/>
    <n v="950"/>
    <n v="102600"/>
  </r>
  <r>
    <x v="140"/>
    <x v="2"/>
    <x v="2"/>
    <x v="3"/>
    <n v="14"/>
    <n v="820"/>
    <n v="11480"/>
  </r>
  <r>
    <x v="141"/>
    <x v="2"/>
    <x v="0"/>
    <x v="3"/>
    <n v="9"/>
    <n v="950"/>
    <n v="8550"/>
  </r>
  <r>
    <x v="142"/>
    <x v="2"/>
    <x v="2"/>
    <x v="4"/>
    <n v="1"/>
    <n v="450"/>
    <n v="450"/>
  </r>
  <r>
    <x v="143"/>
    <x v="2"/>
    <x v="3"/>
    <x v="0"/>
    <n v="132"/>
    <n v="650"/>
    <n v="85800"/>
  </r>
  <r>
    <x v="144"/>
    <x v="2"/>
    <x v="4"/>
    <x v="0"/>
    <n v="10"/>
    <n v="650"/>
    <n v="6500"/>
  </r>
  <r>
    <x v="145"/>
    <x v="2"/>
    <x v="3"/>
    <x v="3"/>
    <n v="16"/>
    <n v="820"/>
    <n v="13120"/>
  </r>
  <r>
    <x v="146"/>
    <x v="2"/>
    <x v="5"/>
    <x v="3"/>
    <n v="194"/>
    <n v="820"/>
    <n v="159080"/>
  </r>
  <r>
    <x v="147"/>
    <x v="2"/>
    <x v="0"/>
    <x v="2"/>
    <n v="104"/>
    <n v="800"/>
    <n v="83200"/>
  </r>
  <r>
    <x v="148"/>
    <x v="2"/>
    <x v="4"/>
    <x v="2"/>
    <n v="135"/>
    <n v="800"/>
    <n v="108000"/>
  </r>
  <r>
    <x v="149"/>
    <x v="2"/>
    <x v="2"/>
    <x v="1"/>
    <n v="32"/>
    <n v="1200"/>
    <n v="38400"/>
  </r>
  <r>
    <x v="150"/>
    <x v="2"/>
    <x v="2"/>
    <x v="2"/>
    <n v="2"/>
    <n v="800"/>
    <n v="1600"/>
  </r>
  <r>
    <x v="151"/>
    <x v="2"/>
    <x v="5"/>
    <x v="4"/>
    <n v="44"/>
    <n v="450"/>
    <n v="19800"/>
  </r>
  <r>
    <x v="152"/>
    <x v="2"/>
    <x v="4"/>
    <x v="2"/>
    <n v="82"/>
    <n v="800"/>
    <n v="65600"/>
  </r>
  <r>
    <x v="153"/>
    <x v="2"/>
    <x v="1"/>
    <x v="0"/>
    <n v="90"/>
    <n v="650"/>
    <n v="58500"/>
  </r>
  <r>
    <x v="154"/>
    <x v="2"/>
    <x v="0"/>
    <x v="3"/>
    <n v="115"/>
    <n v="820"/>
    <n v="94300"/>
  </r>
  <r>
    <x v="155"/>
    <x v="2"/>
    <x v="0"/>
    <x v="3"/>
    <n v="31"/>
    <n v="820"/>
    <n v="25420"/>
  </r>
  <r>
    <x v="156"/>
    <x v="2"/>
    <x v="1"/>
    <x v="2"/>
    <n v="18"/>
    <n v="800"/>
    <n v="14400"/>
  </r>
  <r>
    <x v="157"/>
    <x v="2"/>
    <x v="4"/>
    <x v="2"/>
    <n v="156"/>
    <n v="800"/>
    <n v="124800"/>
  </r>
  <r>
    <x v="158"/>
    <x v="2"/>
    <x v="5"/>
    <x v="2"/>
    <n v="70"/>
    <n v="800"/>
    <n v="56000"/>
  </r>
  <r>
    <x v="159"/>
    <x v="2"/>
    <x v="1"/>
    <x v="1"/>
    <n v="22"/>
    <n v="1200"/>
    <n v="26400"/>
  </r>
  <r>
    <x v="160"/>
    <x v="2"/>
    <x v="2"/>
    <x v="0"/>
    <n v="27"/>
    <n v="650"/>
    <n v="17550"/>
  </r>
  <r>
    <x v="161"/>
    <x v="2"/>
    <x v="5"/>
    <x v="2"/>
    <n v="42"/>
    <n v="800"/>
    <n v="33600"/>
  </r>
  <r>
    <x v="162"/>
    <x v="2"/>
    <x v="3"/>
    <x v="2"/>
    <n v="38"/>
    <n v="800"/>
    <n v="30400"/>
  </r>
  <r>
    <x v="163"/>
    <x v="2"/>
    <x v="4"/>
    <x v="3"/>
    <n v="34"/>
    <n v="820"/>
    <n v="27880"/>
  </r>
  <r>
    <x v="164"/>
    <x v="2"/>
    <x v="0"/>
    <x v="2"/>
    <n v="89"/>
    <n v="800"/>
    <n v="71200"/>
  </r>
  <r>
    <x v="165"/>
    <x v="2"/>
    <x v="1"/>
    <x v="1"/>
    <n v="66"/>
    <n v="1200"/>
    <n v="79200"/>
  </r>
  <r>
    <x v="166"/>
    <x v="2"/>
    <x v="4"/>
    <x v="3"/>
    <n v="30"/>
    <n v="820"/>
    <n v="24600"/>
  </r>
  <r>
    <x v="167"/>
    <x v="2"/>
    <x v="4"/>
    <x v="1"/>
    <n v="128"/>
    <n v="1200"/>
    <n v="153600"/>
  </r>
  <r>
    <x v="168"/>
    <x v="2"/>
    <x v="2"/>
    <x v="2"/>
    <n v="13"/>
    <n v="800"/>
    <n v="10400"/>
  </r>
  <r>
    <x v="144"/>
    <x v="2"/>
    <x v="1"/>
    <x v="2"/>
    <n v="64"/>
    <n v="800"/>
    <n v="51200"/>
  </r>
  <r>
    <x v="169"/>
    <x v="3"/>
    <x v="5"/>
    <x v="3"/>
    <n v="49"/>
    <n v="820"/>
    <n v="40180"/>
  </r>
  <r>
    <x v="170"/>
    <x v="3"/>
    <x v="3"/>
    <x v="0"/>
    <n v="76"/>
    <n v="650"/>
    <n v="49400"/>
  </r>
  <r>
    <x v="171"/>
    <x v="3"/>
    <x v="3"/>
    <x v="3"/>
    <n v="36"/>
    <n v="820"/>
    <n v="29520"/>
  </r>
  <r>
    <x v="172"/>
    <x v="3"/>
    <x v="3"/>
    <x v="2"/>
    <n v="126"/>
    <n v="800"/>
    <n v="100800"/>
  </r>
  <r>
    <x v="132"/>
    <x v="3"/>
    <x v="0"/>
    <x v="0"/>
    <n v="29"/>
    <n v="650"/>
    <n v="18850"/>
  </r>
  <r>
    <x v="46"/>
    <x v="3"/>
    <x v="2"/>
    <x v="1"/>
    <n v="6"/>
    <n v="1200"/>
    <n v="7200"/>
  </r>
  <r>
    <x v="173"/>
    <x v="3"/>
    <x v="2"/>
    <x v="3"/>
    <n v="38"/>
    <n v="950"/>
    <n v="36100"/>
  </r>
  <r>
    <x v="174"/>
    <x v="3"/>
    <x v="5"/>
    <x v="0"/>
    <n v="6"/>
    <n v="650"/>
    <n v="3900"/>
  </r>
  <r>
    <x v="175"/>
    <x v="3"/>
    <x v="5"/>
    <x v="3"/>
    <n v="119"/>
    <n v="950"/>
    <n v="113050"/>
  </r>
  <r>
    <x v="176"/>
    <x v="3"/>
    <x v="0"/>
    <x v="3"/>
    <n v="30"/>
    <n v="820"/>
    <n v="24600"/>
  </r>
  <r>
    <x v="177"/>
    <x v="3"/>
    <x v="5"/>
    <x v="1"/>
    <n v="8"/>
    <n v="1200"/>
    <n v="9600"/>
  </r>
  <r>
    <x v="178"/>
    <x v="3"/>
    <x v="2"/>
    <x v="2"/>
    <n v="6"/>
    <n v="800"/>
    <n v="4800"/>
  </r>
  <r>
    <x v="179"/>
    <x v="3"/>
    <x v="1"/>
    <x v="2"/>
    <n v="21"/>
    <n v="800"/>
    <n v="16800"/>
  </r>
  <r>
    <x v="180"/>
    <x v="3"/>
    <x v="0"/>
    <x v="2"/>
    <n v="85"/>
    <n v="800"/>
    <n v="68000"/>
  </r>
  <r>
    <x v="181"/>
    <x v="3"/>
    <x v="2"/>
    <x v="2"/>
    <n v="20"/>
    <n v="800"/>
    <n v="16000"/>
  </r>
  <r>
    <x v="182"/>
    <x v="3"/>
    <x v="1"/>
    <x v="2"/>
    <n v="7"/>
    <n v="800"/>
    <n v="5600"/>
  </r>
  <r>
    <x v="183"/>
    <x v="3"/>
    <x v="3"/>
    <x v="2"/>
    <n v="78"/>
    <n v="800"/>
    <n v="62400"/>
  </r>
  <r>
    <x v="184"/>
    <x v="3"/>
    <x v="1"/>
    <x v="1"/>
    <n v="17"/>
    <n v="1200"/>
    <n v="20400"/>
  </r>
  <r>
    <x v="185"/>
    <x v="3"/>
    <x v="5"/>
    <x v="3"/>
    <n v="13"/>
    <n v="820"/>
    <n v="10660"/>
  </r>
  <r>
    <x v="186"/>
    <x v="3"/>
    <x v="2"/>
    <x v="2"/>
    <n v="9"/>
    <n v="800"/>
    <n v="7200"/>
  </r>
  <r>
    <x v="187"/>
    <x v="3"/>
    <x v="3"/>
    <x v="3"/>
    <n v="33"/>
    <n v="820"/>
    <n v="27060"/>
  </r>
  <r>
    <x v="150"/>
    <x v="3"/>
    <x v="1"/>
    <x v="3"/>
    <n v="15"/>
    <n v="820"/>
    <n v="12300"/>
  </r>
  <r>
    <x v="188"/>
    <x v="3"/>
    <x v="0"/>
    <x v="0"/>
    <n v="36"/>
    <n v="650"/>
    <n v="23400"/>
  </r>
  <r>
    <x v="189"/>
    <x v="3"/>
    <x v="0"/>
    <x v="0"/>
    <n v="22"/>
    <n v="650"/>
    <n v="14300"/>
  </r>
  <r>
    <x v="190"/>
    <x v="3"/>
    <x v="0"/>
    <x v="1"/>
    <n v="12"/>
    <n v="1200"/>
    <n v="14400"/>
  </r>
  <r>
    <x v="191"/>
    <x v="3"/>
    <x v="2"/>
    <x v="4"/>
    <n v="29"/>
    <n v="450"/>
    <n v="13050"/>
  </r>
  <r>
    <x v="192"/>
    <x v="3"/>
    <x v="3"/>
    <x v="1"/>
    <n v="23"/>
    <n v="1200"/>
    <n v="27600"/>
  </r>
  <r>
    <x v="193"/>
    <x v="3"/>
    <x v="1"/>
    <x v="1"/>
    <n v="17"/>
    <n v="1200"/>
    <n v="20400"/>
  </r>
  <r>
    <x v="194"/>
    <x v="3"/>
    <x v="4"/>
    <x v="2"/>
    <n v="45"/>
    <n v="800"/>
    <n v="36000"/>
  </r>
  <r>
    <x v="195"/>
    <x v="3"/>
    <x v="4"/>
    <x v="0"/>
    <n v="274"/>
    <n v="650"/>
    <n v="178100"/>
  </r>
  <r>
    <x v="196"/>
    <x v="3"/>
    <x v="1"/>
    <x v="3"/>
    <n v="60"/>
    <n v="820"/>
    <n v="49200"/>
  </r>
  <r>
    <x v="197"/>
    <x v="3"/>
    <x v="4"/>
    <x v="0"/>
    <n v="39"/>
    <n v="650"/>
    <n v="25350"/>
  </r>
  <r>
    <x v="149"/>
    <x v="3"/>
    <x v="4"/>
    <x v="3"/>
    <n v="58"/>
    <n v="820"/>
    <n v="47560"/>
  </r>
  <r>
    <x v="198"/>
    <x v="3"/>
    <x v="3"/>
    <x v="2"/>
    <n v="60"/>
    <n v="800"/>
    <n v="48000"/>
  </r>
  <r>
    <x v="199"/>
    <x v="3"/>
    <x v="0"/>
    <x v="1"/>
    <n v="92"/>
    <n v="1200"/>
    <n v="110400"/>
  </r>
  <r>
    <x v="200"/>
    <x v="3"/>
    <x v="3"/>
    <x v="1"/>
    <n v="153"/>
    <n v="1200"/>
    <n v="183600"/>
  </r>
  <r>
    <x v="201"/>
    <x v="3"/>
    <x v="0"/>
    <x v="1"/>
    <n v="86"/>
    <n v="1200"/>
    <n v="103200"/>
  </r>
  <r>
    <x v="202"/>
    <x v="3"/>
    <x v="5"/>
    <x v="3"/>
    <n v="181"/>
    <n v="820"/>
    <n v="148420"/>
  </r>
  <r>
    <x v="203"/>
    <x v="3"/>
    <x v="4"/>
    <x v="1"/>
    <n v="18"/>
    <n v="1200"/>
    <n v="21600"/>
  </r>
  <r>
    <x v="204"/>
    <x v="3"/>
    <x v="4"/>
    <x v="0"/>
    <n v="57"/>
    <n v="650"/>
    <n v="37050"/>
  </r>
  <r>
    <x v="205"/>
    <x v="3"/>
    <x v="1"/>
    <x v="3"/>
    <n v="31"/>
    <n v="820"/>
    <n v="25420"/>
  </r>
  <r>
    <x v="186"/>
    <x v="3"/>
    <x v="2"/>
    <x v="1"/>
    <n v="18"/>
    <n v="1200"/>
    <n v="21600"/>
  </r>
  <r>
    <x v="206"/>
    <x v="3"/>
    <x v="5"/>
    <x v="4"/>
    <n v="4"/>
    <n v="450"/>
    <n v="1800"/>
  </r>
  <r>
    <x v="207"/>
    <x v="3"/>
    <x v="1"/>
    <x v="2"/>
    <n v="6"/>
    <n v="800"/>
    <n v="4800"/>
  </r>
  <r>
    <x v="208"/>
    <x v="3"/>
    <x v="1"/>
    <x v="1"/>
    <n v="28"/>
    <n v="1200"/>
    <n v="33600"/>
  </r>
  <r>
    <x v="209"/>
    <x v="3"/>
    <x v="3"/>
    <x v="2"/>
    <n v="1"/>
    <n v="800"/>
    <n v="800"/>
  </r>
  <r>
    <x v="210"/>
    <x v="3"/>
    <x v="0"/>
    <x v="4"/>
    <n v="37"/>
    <n v="450"/>
    <n v="16650"/>
  </r>
  <r>
    <x v="211"/>
    <x v="3"/>
    <x v="3"/>
    <x v="4"/>
    <n v="25"/>
    <n v="450"/>
    <n v="11250"/>
  </r>
  <r>
    <x v="6"/>
    <x v="3"/>
    <x v="2"/>
    <x v="4"/>
    <n v="8"/>
    <n v="450"/>
    <n v="3600"/>
  </r>
  <r>
    <x v="212"/>
    <x v="3"/>
    <x v="0"/>
    <x v="2"/>
    <n v="55"/>
    <n v="800"/>
    <n v="44000"/>
  </r>
  <r>
    <x v="213"/>
    <x v="3"/>
    <x v="0"/>
    <x v="1"/>
    <n v="55"/>
    <n v="1200"/>
    <n v="66000"/>
  </r>
  <r>
    <x v="214"/>
    <x v="3"/>
    <x v="1"/>
    <x v="0"/>
    <n v="3"/>
    <n v="650"/>
    <n v="1950"/>
  </r>
  <r>
    <x v="215"/>
    <x v="3"/>
    <x v="0"/>
    <x v="3"/>
    <n v="22"/>
    <n v="820"/>
    <n v="18040"/>
  </r>
  <r>
    <x v="216"/>
    <x v="3"/>
    <x v="5"/>
    <x v="2"/>
    <n v="49"/>
    <n v="800"/>
    <n v="39200"/>
  </r>
  <r>
    <x v="217"/>
    <x v="3"/>
    <x v="1"/>
    <x v="3"/>
    <n v="71"/>
    <n v="820"/>
    <n v="58220"/>
  </r>
  <r>
    <x v="218"/>
    <x v="3"/>
    <x v="5"/>
    <x v="2"/>
    <n v="49"/>
    <n v="800"/>
    <n v="39200"/>
  </r>
  <r>
    <x v="219"/>
    <x v="3"/>
    <x v="2"/>
    <x v="3"/>
    <n v="3"/>
    <n v="820"/>
    <n v="2460"/>
  </r>
  <r>
    <x v="220"/>
    <x v="3"/>
    <x v="4"/>
    <x v="2"/>
    <n v="16"/>
    <n v="800"/>
    <n v="12800"/>
  </r>
  <r>
    <x v="169"/>
    <x v="3"/>
    <x v="3"/>
    <x v="4"/>
    <n v="67"/>
    <n v="450"/>
    <n v="30150"/>
  </r>
  <r>
    <x v="221"/>
    <x v="3"/>
    <x v="0"/>
    <x v="1"/>
    <n v="19"/>
    <n v="1200"/>
    <n v="22800"/>
  </r>
  <r>
    <x v="222"/>
    <x v="3"/>
    <x v="2"/>
    <x v="2"/>
    <n v="1"/>
    <n v="800"/>
    <n v="800"/>
  </r>
  <r>
    <x v="223"/>
    <x v="3"/>
    <x v="5"/>
    <x v="3"/>
    <n v="3"/>
    <n v="950"/>
    <n v="2850"/>
  </r>
  <r>
    <x v="224"/>
    <x v="3"/>
    <x v="1"/>
    <x v="3"/>
    <n v="33"/>
    <n v="820"/>
    <n v="27060"/>
  </r>
  <r>
    <x v="225"/>
    <x v="3"/>
    <x v="4"/>
    <x v="1"/>
    <n v="280"/>
    <n v="1200"/>
    <n v="336000"/>
  </r>
  <r>
    <x v="226"/>
    <x v="3"/>
    <x v="0"/>
    <x v="2"/>
    <n v="24"/>
    <n v="800"/>
    <n v="19200"/>
  </r>
  <r>
    <x v="212"/>
    <x v="3"/>
    <x v="2"/>
    <x v="1"/>
    <n v="6"/>
    <n v="1200"/>
    <n v="7200"/>
  </r>
  <r>
    <x v="227"/>
    <x v="3"/>
    <x v="2"/>
    <x v="0"/>
    <n v="7"/>
    <n v="650"/>
    <n v="4550"/>
  </r>
  <r>
    <x v="228"/>
    <x v="3"/>
    <x v="1"/>
    <x v="3"/>
    <n v="38"/>
    <n v="950"/>
    <n v="36100"/>
  </r>
  <r>
    <x v="229"/>
    <x v="3"/>
    <x v="3"/>
    <x v="2"/>
    <n v="23"/>
    <n v="800"/>
    <n v="18400"/>
  </r>
  <r>
    <x v="230"/>
    <x v="3"/>
    <x v="4"/>
    <x v="4"/>
    <n v="26"/>
    <n v="450"/>
    <n v="11700"/>
  </r>
  <r>
    <x v="231"/>
    <x v="3"/>
    <x v="1"/>
    <x v="3"/>
    <n v="11"/>
    <n v="820"/>
    <n v="9020"/>
  </r>
  <r>
    <x v="232"/>
    <x v="3"/>
    <x v="5"/>
    <x v="1"/>
    <n v="23"/>
    <n v="1200"/>
    <n v="27600"/>
  </r>
  <r>
    <x v="233"/>
    <x v="3"/>
    <x v="3"/>
    <x v="3"/>
    <n v="59"/>
    <n v="820"/>
    <n v="48380"/>
  </r>
  <r>
    <x v="234"/>
    <x v="4"/>
    <x v="4"/>
    <x v="3"/>
    <n v="138"/>
    <n v="950"/>
    <n v="131100"/>
  </r>
  <r>
    <x v="235"/>
    <x v="4"/>
    <x v="0"/>
    <x v="3"/>
    <n v="69"/>
    <n v="950"/>
    <n v="65550"/>
  </r>
  <r>
    <x v="236"/>
    <x v="4"/>
    <x v="4"/>
    <x v="2"/>
    <n v="214"/>
    <n v="800"/>
    <n v="171200"/>
  </r>
  <r>
    <x v="237"/>
    <x v="4"/>
    <x v="5"/>
    <x v="3"/>
    <n v="223"/>
    <n v="820"/>
    <n v="182860"/>
  </r>
  <r>
    <x v="238"/>
    <x v="0"/>
    <x v="0"/>
    <x v="0"/>
    <n v="54.890596344779603"/>
    <n v="832.14538670714001"/>
    <n v="45676.95652191215"/>
  </r>
  <r>
    <x v="239"/>
    <x v="0"/>
    <x v="1"/>
    <x v="1"/>
    <n v="54.931735383580197"/>
    <n v="831.99891068763395"/>
    <n v="45703.144001320084"/>
  </r>
  <r>
    <x v="240"/>
    <x v="0"/>
    <x v="2"/>
    <x v="1"/>
    <n v="54.972874422380698"/>
    <n v="831.85243466812801"/>
    <n v="45729.319428962648"/>
  </r>
  <r>
    <x v="241"/>
    <x v="0"/>
    <x v="3"/>
    <x v="2"/>
    <n v="55.0140134611813"/>
    <n v="831.70595864862298"/>
    <n v="45755.482804840045"/>
  </r>
  <r>
    <x v="242"/>
    <x v="0"/>
    <x v="0"/>
    <x v="2"/>
    <n v="55.055152499981901"/>
    <n v="831.55948262911704"/>
    <n v="45781.634128952086"/>
  </r>
  <r>
    <x v="243"/>
    <x v="0"/>
    <x v="2"/>
    <x v="2"/>
    <n v="55.096291538782403"/>
    <n v="831.41300660961201"/>
    <n v="45807.773401298808"/>
  </r>
  <r>
    <x v="244"/>
    <x v="0"/>
    <x v="2"/>
    <x v="3"/>
    <n v="55.137430577582997"/>
    <n v="831.26653059010596"/>
    <n v="45833.900621880239"/>
  </r>
  <r>
    <x v="245"/>
    <x v="0"/>
    <x v="2"/>
    <x v="4"/>
    <n v="55.178569616383598"/>
    <n v="831.12005457060002"/>
    <n v="45860.015790696387"/>
  </r>
  <r>
    <x v="246"/>
    <x v="0"/>
    <x v="4"/>
    <x v="0"/>
    <n v="55.2197086551841"/>
    <n v="830.97357855109499"/>
    <n v="45886.118907747201"/>
  </r>
  <r>
    <x v="247"/>
    <x v="0"/>
    <x v="4"/>
    <x v="2"/>
    <n v="55.260847693984701"/>
    <n v="830.82710253158905"/>
    <n v="45912.209973032754"/>
  </r>
  <r>
    <x v="246"/>
    <x v="0"/>
    <x v="5"/>
    <x v="2"/>
    <n v="55.301986732785302"/>
    <n v="830.68062651208299"/>
    <n v="45938.288986552994"/>
  </r>
  <r>
    <x v="248"/>
    <x v="0"/>
    <x v="4"/>
    <x v="1"/>
    <n v="55.343125771585797"/>
    <n v="830.53415049257796"/>
    <n v="45964.355948307908"/>
  </r>
  <r>
    <x v="249"/>
    <x v="0"/>
    <x v="0"/>
    <x v="3"/>
    <n v="55.384264810386398"/>
    <n v="830.38767447307202"/>
    <n v="45990.41085829756"/>
  </r>
  <r>
    <x v="250"/>
    <x v="0"/>
    <x v="2"/>
    <x v="3"/>
    <n v="55.425403849186999"/>
    <n v="830.24119845356597"/>
    <n v="46016.453716521901"/>
  </r>
  <r>
    <x v="251"/>
    <x v="0"/>
    <x v="4"/>
    <x v="3"/>
    <n v="55.466542887987501"/>
    <n v="830.09472243406105"/>
    <n v="46042.484522980929"/>
  </r>
  <r>
    <x v="252"/>
    <x v="0"/>
    <x v="2"/>
    <x v="3"/>
    <n v="55.507681926788102"/>
    <n v="829.948246414555"/>
    <n v="46068.503277674674"/>
  </r>
  <r>
    <x v="253"/>
    <x v="0"/>
    <x v="5"/>
    <x v="3"/>
    <n v="55.548820965588703"/>
    <n v="829.80177039504997"/>
    <n v="46094.509980603172"/>
  </r>
  <r>
    <x v="0"/>
    <x v="0"/>
    <x v="2"/>
    <x v="3"/>
    <n v="55.589960004389198"/>
    <n v="829.65529437554403"/>
    <n v="46120.504631766242"/>
  </r>
  <r>
    <x v="254"/>
    <x v="0"/>
    <x v="0"/>
    <x v="1"/>
    <n v="55.631099043189799"/>
    <n v="829.50881835603798"/>
    <n v="46146.487231164087"/>
  </r>
  <r>
    <x v="255"/>
    <x v="0"/>
    <x v="5"/>
    <x v="3"/>
    <n v="55.6722380819904"/>
    <n v="829.36234233653295"/>
    <n v="46172.457778796692"/>
  </r>
  <r>
    <x v="256"/>
    <x v="0"/>
    <x v="0"/>
    <x v="3"/>
    <n v="55.713377120790902"/>
    <n v="829.21586631702701"/>
    <n v="46198.416274663861"/>
  </r>
  <r>
    <x v="257"/>
    <x v="0"/>
    <x v="3"/>
    <x v="3"/>
    <n v="55.754516159591503"/>
    <n v="829.06939029752095"/>
    <n v="46224.362718765806"/>
  </r>
  <r>
    <x v="105"/>
    <x v="0"/>
    <x v="0"/>
    <x v="3"/>
    <n v="55.795655198392097"/>
    <n v="828.92291427801604"/>
    <n v="46250.297111102511"/>
  </r>
  <r>
    <x v="11"/>
    <x v="0"/>
    <x v="5"/>
    <x v="2"/>
    <n v="55.836794237192599"/>
    <n v="828.77643825850998"/>
    <n v="46276.21945167378"/>
  </r>
  <r>
    <x v="258"/>
    <x v="0"/>
    <x v="4"/>
    <x v="1"/>
    <n v="55.8779332759932"/>
    <n v="828.62996223900404"/>
    <n v="46302.129740479832"/>
  </r>
  <r>
    <x v="208"/>
    <x v="0"/>
    <x v="1"/>
    <x v="2"/>
    <n v="55.919072314793802"/>
    <n v="828.48348621949901"/>
    <n v="46328.027977520636"/>
  </r>
  <r>
    <x v="259"/>
    <x v="0"/>
    <x v="1"/>
    <x v="2"/>
    <n v="55.960211353594303"/>
    <n v="828.33701019999296"/>
    <n v="46353.914162796005"/>
  </r>
  <r>
    <x v="260"/>
    <x v="0"/>
    <x v="3"/>
    <x v="3"/>
    <n v="56.001350392394897"/>
    <n v="828.19053418048702"/>
    <n v="46379.788296306157"/>
  </r>
  <r>
    <x v="261"/>
    <x v="0"/>
    <x v="5"/>
    <x v="3"/>
    <n v="56.042489431195499"/>
    <n v="828.04405816098199"/>
    <n v="46405.650378051061"/>
  </r>
  <r>
    <x v="262"/>
    <x v="0"/>
    <x v="5"/>
    <x v="0"/>
    <n v="56.083628469996"/>
    <n v="827.89758214147605"/>
    <n v="46431.500408030537"/>
  </r>
  <r>
    <x v="263"/>
    <x v="0"/>
    <x v="5"/>
    <x v="2"/>
    <n v="56.124767508796602"/>
    <n v="827.75110612197"/>
    <n v="46457.338386244788"/>
  </r>
  <r>
    <x v="142"/>
    <x v="0"/>
    <x v="0"/>
    <x v="0"/>
    <n v="56.165906547597203"/>
    <n v="827.60463010246497"/>
    <n v="46483.1643126938"/>
  </r>
  <r>
    <x v="264"/>
    <x v="0"/>
    <x v="4"/>
    <x v="1"/>
    <n v="56.207045586397697"/>
    <n v="827.45815408295903"/>
    <n v="46508.978187377368"/>
  </r>
  <r>
    <x v="265"/>
    <x v="0"/>
    <x v="5"/>
    <x v="2"/>
    <n v="56.248184625198299"/>
    <n v="827.311678063454"/>
    <n v="46534.780010295777"/>
  </r>
  <r>
    <x v="266"/>
    <x v="0"/>
    <x v="2"/>
    <x v="2"/>
    <n v="56.2893236639989"/>
    <n v="827.16520204394806"/>
    <n v="46560.569781448838"/>
  </r>
  <r>
    <x v="43"/>
    <x v="0"/>
    <x v="4"/>
    <x v="2"/>
    <n v="56.330462702799402"/>
    <n v="827.018726024442"/>
    <n v="46586.347500836506"/>
  </r>
  <r>
    <x v="267"/>
    <x v="0"/>
    <x v="5"/>
    <x v="2"/>
    <n v="56.371601741600003"/>
    <n v="826.87225000493697"/>
    <n v="46612.113168459015"/>
  </r>
  <r>
    <x v="268"/>
    <x v="0"/>
    <x v="1"/>
    <x v="3"/>
    <n v="56.412740780400597"/>
    <n v="826.72577398543103"/>
    <n v="46637.866784316175"/>
  </r>
  <r>
    <x v="269"/>
    <x v="0"/>
    <x v="1"/>
    <x v="1"/>
    <n v="56.453879819201802"/>
    <n v="826.57929796592498"/>
    <n v="46663.608348408525"/>
  </r>
  <r>
    <x v="138"/>
    <x v="0"/>
    <x v="3"/>
    <x v="3"/>
    <n v="56.4950188580017"/>
    <n v="826.43282194641995"/>
    <n v="46689.337860734558"/>
  </r>
  <r>
    <x v="212"/>
    <x v="0"/>
    <x v="2"/>
    <x v="2"/>
    <n v="56.536157896802301"/>
    <n v="826.28634592691401"/>
    <n v="46715.055321295818"/>
  </r>
  <r>
    <x v="270"/>
    <x v="0"/>
    <x v="3"/>
    <x v="2"/>
    <n v="56.577296935602803"/>
    <n v="826.13986990740898"/>
    <n v="46740.760730091752"/>
  </r>
  <r>
    <x v="271"/>
    <x v="0"/>
    <x v="1"/>
    <x v="1"/>
    <n v="56.618435974403397"/>
    <n v="825.99339388790304"/>
    <n v="46766.454087122402"/>
  </r>
  <r>
    <x v="272"/>
    <x v="0"/>
    <x v="4"/>
    <x v="2"/>
    <n v="56.659575013203998"/>
    <n v="825.84691786839699"/>
    <n v="46792.135392387761"/>
  </r>
  <r>
    <x v="273"/>
    <x v="0"/>
    <x v="3"/>
    <x v="2"/>
    <n v="56.7007140520045"/>
    <n v="825.70044184889196"/>
    <n v="46817.804645887794"/>
  </r>
  <r>
    <x v="165"/>
    <x v="0"/>
    <x v="3"/>
    <x v="2"/>
    <n v="56.741853090805101"/>
    <n v="825.55396582938602"/>
    <n v="46843.461847622559"/>
  </r>
  <r>
    <x v="18"/>
    <x v="0"/>
    <x v="3"/>
    <x v="2"/>
    <n v="56.782992129605702"/>
    <n v="825.40748980987996"/>
    <n v="46869.106997592011"/>
  </r>
  <r>
    <x v="274"/>
    <x v="0"/>
    <x v="5"/>
    <x v="0"/>
    <n v="56.824131168406197"/>
    <n v="825.26101379037505"/>
    <n v="46894.740095796144"/>
  </r>
  <r>
    <x v="275"/>
    <x v="0"/>
    <x v="4"/>
    <x v="1"/>
    <n v="56.865270207206798"/>
    <n v="825.11453777086899"/>
    <n v="46920.361142235008"/>
  </r>
  <r>
    <x v="276"/>
    <x v="0"/>
    <x v="5"/>
    <x v="3"/>
    <n v="56.906409246007399"/>
    <n v="824.96806175136305"/>
    <n v="46945.970136908567"/>
  </r>
  <r>
    <x v="277"/>
    <x v="0"/>
    <x v="1"/>
    <x v="1"/>
    <n v="56.947548284807901"/>
    <n v="824.82158573185802"/>
    <n v="46971.567079816807"/>
  </r>
  <r>
    <x v="278"/>
    <x v="0"/>
    <x v="1"/>
    <x v="1"/>
    <n v="56.988687323608502"/>
    <n v="824.67510971235197"/>
    <n v="46997.151970959763"/>
  </r>
  <r>
    <x v="279"/>
    <x v="0"/>
    <x v="0"/>
    <x v="1"/>
    <n v="57.029826362409104"/>
    <n v="824.52863369284603"/>
    <n v="47022.72481033743"/>
  </r>
  <r>
    <x v="280"/>
    <x v="0"/>
    <x v="2"/>
    <x v="3"/>
    <n v="57.070965401209598"/>
    <n v="824.382157673341"/>
    <n v="47048.285597949762"/>
  </r>
  <r>
    <x v="117"/>
    <x v="0"/>
    <x v="4"/>
    <x v="0"/>
    <n v="57.112104440010199"/>
    <n v="824.23568165383494"/>
    <n v="47073.834333796818"/>
  </r>
  <r>
    <x v="281"/>
    <x v="0"/>
    <x v="2"/>
    <x v="2"/>
    <n v="57.153243478810801"/>
    <n v="824.08920563432901"/>
    <n v="47099.371017878584"/>
  </r>
  <r>
    <x v="282"/>
    <x v="0"/>
    <x v="0"/>
    <x v="3"/>
    <n v="57.194382517611302"/>
    <n v="823.94272961482397"/>
    <n v="47124.895650195023"/>
  </r>
  <r>
    <x v="25"/>
    <x v="0"/>
    <x v="0"/>
    <x v="1"/>
    <n v="57.235521556411904"/>
    <n v="823.79625359531803"/>
    <n v="47150.408230746194"/>
  </r>
  <r>
    <x v="261"/>
    <x v="0"/>
    <x v="4"/>
    <x v="2"/>
    <n v="57.276660595212498"/>
    <n v="823.649777575813"/>
    <n v="47175.908759532103"/>
  </r>
  <r>
    <x v="283"/>
    <x v="0"/>
    <x v="1"/>
    <x v="2"/>
    <n v="57.317799634012999"/>
    <n v="823.50330155630695"/>
    <n v="47201.397236552584"/>
  </r>
  <r>
    <x v="284"/>
    <x v="0"/>
    <x v="4"/>
    <x v="3"/>
    <n v="57.358938672813601"/>
    <n v="823.35682553680101"/>
    <n v="47226.873661807855"/>
  </r>
  <r>
    <x v="285"/>
    <x v="0"/>
    <x v="1"/>
    <x v="3"/>
    <n v="57.400077711614202"/>
    <n v="823.21034951729598"/>
    <n v="47252.338035297878"/>
  </r>
  <r>
    <x v="168"/>
    <x v="0"/>
    <x v="5"/>
    <x v="1"/>
    <n v="57.441216750414704"/>
    <n v="823.06387349779004"/>
    <n v="47277.790357022466"/>
  </r>
  <r>
    <x v="286"/>
    <x v="0"/>
    <x v="3"/>
    <x v="3"/>
    <n v="57.482355789215298"/>
    <n v="822.91739747828399"/>
    <n v="47303.230626981822"/>
  </r>
  <r>
    <x v="287"/>
    <x v="1"/>
    <x v="3"/>
    <x v="1"/>
    <n v="57.523494828015899"/>
    <n v="822.77092145877896"/>
    <n v="47328.658845175945"/>
  </r>
  <r>
    <x v="288"/>
    <x v="1"/>
    <x v="2"/>
    <x v="1"/>
    <n v="57.564633866816401"/>
    <n v="822.62444543927302"/>
    <n v="47354.075011604633"/>
  </r>
  <r>
    <x v="289"/>
    <x v="1"/>
    <x v="3"/>
    <x v="2"/>
    <n v="57.605772905617002"/>
    <n v="822.47796941976799"/>
    <n v="47379.479126268161"/>
  </r>
  <r>
    <x v="201"/>
    <x v="1"/>
    <x v="0"/>
    <x v="3"/>
    <n v="57.646911944417603"/>
    <n v="822.33149340026205"/>
    <n v="47404.871189166333"/>
  </r>
  <r>
    <x v="290"/>
    <x v="1"/>
    <x v="4"/>
    <x v="3"/>
    <n v="57.688050983218098"/>
    <n v="822.18501738075599"/>
    <n v="47430.251200299106"/>
  </r>
  <r>
    <x v="291"/>
    <x v="1"/>
    <x v="0"/>
    <x v="4"/>
    <n v="57.729190022018699"/>
    <n v="822.03854136125096"/>
    <n v="47455.619159666734"/>
  </r>
  <r>
    <x v="292"/>
    <x v="1"/>
    <x v="0"/>
    <x v="0"/>
    <n v="57.7703290608193"/>
    <n v="821.89206534174502"/>
    <n v="47480.975067269006"/>
  </r>
  <r>
    <x v="9"/>
    <x v="1"/>
    <x v="4"/>
    <x v="4"/>
    <n v="57.811468099619802"/>
    <n v="821.74558932223897"/>
    <n v="47506.318923105893"/>
  </r>
  <r>
    <x v="293"/>
    <x v="1"/>
    <x v="4"/>
    <x v="3"/>
    <n v="57.852607138420403"/>
    <n v="821.59911330273405"/>
    <n v="47531.650727177628"/>
  </r>
  <r>
    <x v="86"/>
    <x v="1"/>
    <x v="1"/>
    <x v="3"/>
    <n v="57.893746177220997"/>
    <n v="821.452637283228"/>
    <n v="47556.970479483985"/>
  </r>
  <r>
    <x v="258"/>
    <x v="1"/>
    <x v="3"/>
    <x v="0"/>
    <n v="57.934885216021499"/>
    <n v="821.30616126372195"/>
    <n v="47582.278180024972"/>
  </r>
  <r>
    <x v="294"/>
    <x v="1"/>
    <x v="3"/>
    <x v="1"/>
    <n v="57.9760242548221"/>
    <n v="821.15968524421703"/>
    <n v="47607.573828800807"/>
  </r>
  <r>
    <x v="295"/>
    <x v="1"/>
    <x v="2"/>
    <x v="3"/>
    <n v="58.017163293622701"/>
    <n v="821.01320922471098"/>
    <n v="47632.857425811279"/>
  </r>
  <r>
    <x v="296"/>
    <x v="1"/>
    <x v="1"/>
    <x v="1"/>
    <n v="58.058302332423203"/>
    <n v="820.86673320520504"/>
    <n v="47658.128971056372"/>
  </r>
  <r>
    <x v="297"/>
    <x v="1"/>
    <x v="5"/>
    <x v="3"/>
    <n v="58.099441371223797"/>
    <n v="820.72025718570001"/>
    <n v="47683.388464536292"/>
  </r>
  <r>
    <x v="298"/>
    <x v="1"/>
    <x v="0"/>
    <x v="2"/>
    <n v="58.140580410024398"/>
    <n v="820.57378116619395"/>
    <n v="47708.635906250864"/>
  </r>
  <r>
    <x v="191"/>
    <x v="1"/>
    <x v="0"/>
    <x v="3"/>
    <n v="58.1817194488249"/>
    <n v="820.42730514668801"/>
    <n v="47733.871296200057"/>
  </r>
  <r>
    <x v="299"/>
    <x v="1"/>
    <x v="4"/>
    <x v="4"/>
    <n v="58.222858487625501"/>
    <n v="820.28082912718298"/>
    <n v="47759.094634384091"/>
  </r>
  <r>
    <x v="300"/>
    <x v="1"/>
    <x v="0"/>
    <x v="3"/>
    <n v="58.263997526426103"/>
    <n v="820.13435310767704"/>
    <n v="47784.30592080277"/>
  </r>
  <r>
    <x v="301"/>
    <x v="1"/>
    <x v="5"/>
    <x v="2"/>
    <n v="58.305136565226597"/>
    <n v="819.98787708817201"/>
    <n v="47809.505155456114"/>
  </r>
  <r>
    <x v="302"/>
    <x v="1"/>
    <x v="4"/>
    <x v="1"/>
    <n v="58.346275604027198"/>
    <n v="819.84140106866596"/>
    <n v="47834.692338344183"/>
  </r>
  <r>
    <x v="303"/>
    <x v="1"/>
    <x v="4"/>
    <x v="2"/>
    <n v="58.3874146428278"/>
    <n v="819.69492504916002"/>
    <n v="47859.867469466961"/>
  </r>
  <r>
    <x v="304"/>
    <x v="1"/>
    <x v="0"/>
    <x v="2"/>
    <n v="58.428553681628301"/>
    <n v="819.54844902965499"/>
    <n v="47885.030548824412"/>
  </r>
  <r>
    <x v="305"/>
    <x v="1"/>
    <x v="4"/>
    <x v="3"/>
    <n v="58.469692720428903"/>
    <n v="819.40197301014905"/>
    <n v="47910.181576416595"/>
  </r>
  <r>
    <x v="306"/>
    <x v="1"/>
    <x v="3"/>
    <x v="0"/>
    <n v="58.510831759229497"/>
    <n v="819.255496990643"/>
    <n v="47935.320552243458"/>
  </r>
  <r>
    <x v="307"/>
    <x v="1"/>
    <x v="5"/>
    <x v="2"/>
    <n v="58.551970798029998"/>
    <n v="819.10902097113797"/>
    <n v="47960.447476305009"/>
  </r>
  <r>
    <x v="308"/>
    <x v="1"/>
    <x v="2"/>
    <x v="3"/>
    <n v="58.5931098368306"/>
    <n v="818.96254495163203"/>
    <n v="47985.562348601292"/>
  </r>
  <r>
    <x v="309"/>
    <x v="1"/>
    <x v="5"/>
    <x v="3"/>
    <n v="58.634248875631201"/>
    <n v="818.816068932127"/>
    <n v="48010.665169132328"/>
  </r>
  <r>
    <x v="310"/>
    <x v="1"/>
    <x v="4"/>
    <x v="2"/>
    <n v="58.675387914431703"/>
    <n v="818.66959291262106"/>
    <n v="48035.755937897928"/>
  </r>
  <r>
    <x v="311"/>
    <x v="1"/>
    <x v="5"/>
    <x v="2"/>
    <n v="58.716526953232297"/>
    <n v="818.523116893115"/>
    <n v="48060.834654898295"/>
  </r>
  <r>
    <x v="312"/>
    <x v="1"/>
    <x v="3"/>
    <x v="2"/>
    <n v="58.757665992032898"/>
    <n v="818.37664087360997"/>
    <n v="48085.901320133431"/>
  </r>
  <r>
    <x v="313"/>
    <x v="1"/>
    <x v="1"/>
    <x v="1"/>
    <n v="58.7988050308334"/>
    <n v="818.23016485410403"/>
    <n v="48110.955933603131"/>
  </r>
  <r>
    <x v="314"/>
    <x v="1"/>
    <x v="1"/>
    <x v="0"/>
    <n v="58.839944069634001"/>
    <n v="818.08368883459798"/>
    <n v="48135.998495307613"/>
  </r>
  <r>
    <x v="315"/>
    <x v="1"/>
    <x v="0"/>
    <x v="2"/>
    <n v="58.881083108434602"/>
    <n v="817.93721281509295"/>
    <n v="48161.029005246848"/>
  </r>
  <r>
    <x v="316"/>
    <x v="1"/>
    <x v="2"/>
    <x v="0"/>
    <n v="58.922222147235097"/>
    <n v="817.79073679558701"/>
    <n v="48186.047463420648"/>
  </r>
  <r>
    <x v="317"/>
    <x v="1"/>
    <x v="4"/>
    <x v="3"/>
    <n v="58.963361186035698"/>
    <n v="817.64426077608096"/>
    <n v="48211.053869829222"/>
  </r>
  <r>
    <x v="318"/>
    <x v="1"/>
    <x v="0"/>
    <x v="3"/>
    <n v="59.004500224836299"/>
    <n v="817.49778475657604"/>
    <n v="48236.048224472564"/>
  </r>
  <r>
    <x v="319"/>
    <x v="1"/>
    <x v="0"/>
    <x v="3"/>
    <n v="59.045639263636801"/>
    <n v="817.35130873706998"/>
    <n v="48261.030527350464"/>
  </r>
  <r>
    <x v="320"/>
    <x v="1"/>
    <x v="1"/>
    <x v="3"/>
    <n v="59.086778302437402"/>
    <n v="817.20483271756495"/>
    <n v="48286.000778463203"/>
  </r>
  <r>
    <x v="321"/>
    <x v="1"/>
    <x v="0"/>
    <x v="3"/>
    <n v="59.127917341238003"/>
    <n v="817.05835669805901"/>
    <n v="48310.958977810587"/>
  </r>
  <r>
    <x v="322"/>
    <x v="1"/>
    <x v="4"/>
    <x v="0"/>
    <n v="59.169056380038498"/>
    <n v="816.91188067855296"/>
    <n v="48335.905125392579"/>
  </r>
  <r>
    <x v="323"/>
    <x v="1"/>
    <x v="3"/>
    <x v="3"/>
    <n v="59.210195418839099"/>
    <n v="816.76540465904702"/>
    <n v="48360.839221209368"/>
  </r>
  <r>
    <x v="324"/>
    <x v="1"/>
    <x v="1"/>
    <x v="0"/>
    <n v="59.2513344576397"/>
    <n v="816.61892863954199"/>
    <n v="48385.76126526091"/>
  </r>
  <r>
    <x v="325"/>
    <x v="1"/>
    <x v="3"/>
    <x v="4"/>
    <n v="59.292473496440202"/>
    <n v="816.47245262003605"/>
    <n v="48410.671257547016"/>
  </r>
  <r>
    <x v="326"/>
    <x v="1"/>
    <x v="2"/>
    <x v="1"/>
    <n v="59.333612535240803"/>
    <n v="816.32597660053102"/>
    <n v="48435.569198067955"/>
  </r>
  <r>
    <x v="327"/>
    <x v="1"/>
    <x v="2"/>
    <x v="0"/>
    <n v="59.374751574041397"/>
    <n v="816.17950058102497"/>
    <n v="48460.455086823531"/>
  </r>
  <r>
    <x v="328"/>
    <x v="1"/>
    <x v="2"/>
    <x v="1"/>
    <n v="59.415890612841899"/>
    <n v="816.03302456151903"/>
    <n v="48485.328923813744"/>
  </r>
  <r>
    <x v="239"/>
    <x v="1"/>
    <x v="4"/>
    <x v="2"/>
    <n v="59.4570296516425"/>
    <n v="815.88654854202105"/>
    <n v="48510.190709039205"/>
  </r>
  <r>
    <x v="97"/>
    <x v="1"/>
    <x v="4"/>
    <x v="2"/>
    <n v="59.498168690443102"/>
    <n v="815.74007252250794"/>
    <n v="48535.040442498466"/>
  </r>
  <r>
    <x v="65"/>
    <x v="1"/>
    <x v="0"/>
    <x v="3"/>
    <n v="59.539307729243603"/>
    <n v="815.593596503002"/>
    <n v="48559.878124192779"/>
  </r>
  <r>
    <x v="329"/>
    <x v="1"/>
    <x v="2"/>
    <x v="3"/>
    <n v="59.580446768044197"/>
    <n v="815.44712048349697"/>
    <n v="48584.703754121918"/>
  </r>
  <r>
    <x v="298"/>
    <x v="1"/>
    <x v="2"/>
    <x v="1"/>
    <n v="59.621585806844799"/>
    <n v="815.30064446399103"/>
    <n v="48609.517332285708"/>
  </r>
  <r>
    <x v="330"/>
    <x v="1"/>
    <x v="0"/>
    <x v="2"/>
    <n v="59.6627248456453"/>
    <n v="815.154168444486"/>
    <n v="48634.318858684172"/>
  </r>
  <r>
    <x v="331"/>
    <x v="1"/>
    <x v="1"/>
    <x v="0"/>
    <n v="59.703863884445902"/>
    <n v="815.00769242497995"/>
    <n v="48659.108333317352"/>
  </r>
  <r>
    <x v="332"/>
    <x v="1"/>
    <x v="1"/>
    <x v="2"/>
    <n v="59.745002923246503"/>
    <n v="814.86121640547401"/>
    <n v="48683.885756185249"/>
  </r>
  <r>
    <x v="333"/>
    <x v="1"/>
    <x v="1"/>
    <x v="3"/>
    <n v="59.786141962046997"/>
    <n v="814.71474038596898"/>
    <n v="48708.651127287805"/>
  </r>
  <r>
    <x v="87"/>
    <x v="1"/>
    <x v="2"/>
    <x v="4"/>
    <n v="59.827281000847599"/>
    <n v="814.56826436646304"/>
    <n v="48733.4044466251"/>
  </r>
  <r>
    <x v="334"/>
    <x v="2"/>
    <x v="5"/>
    <x v="3"/>
    <n v="59.8684200396482"/>
    <n v="814.42178834695699"/>
    <n v="48758.145714197082"/>
  </r>
  <r>
    <x v="132"/>
    <x v="2"/>
    <x v="3"/>
    <x v="0"/>
    <n v="59.909559078448702"/>
    <n v="814.27531232745196"/>
    <n v="48782.874930003753"/>
  </r>
  <r>
    <x v="335"/>
    <x v="2"/>
    <x v="0"/>
    <x v="1"/>
    <n v="59.950698117249303"/>
    <n v="814.12883630794602"/>
    <n v="48807.592094045147"/>
  </r>
  <r>
    <x v="336"/>
    <x v="2"/>
    <x v="4"/>
    <x v="1"/>
    <n v="59.991837156049897"/>
    <n v="813.98236028843996"/>
    <n v="48832.297206321229"/>
  </r>
  <r>
    <x v="337"/>
    <x v="2"/>
    <x v="1"/>
    <x v="1"/>
    <n v="60.032976194850399"/>
    <n v="813.83588426893505"/>
    <n v="48856.990266831999"/>
  </r>
  <r>
    <x v="338"/>
    <x v="2"/>
    <x v="2"/>
    <x v="3"/>
    <n v="60.074115233651"/>
    <n v="813.68940824942899"/>
    <n v="48881.671275577493"/>
  </r>
  <r>
    <x v="339"/>
    <x v="2"/>
    <x v="4"/>
    <x v="3"/>
    <n v="60.115254272451601"/>
    <n v="813.54293222992396"/>
    <n v="48906.340232557741"/>
  </r>
  <r>
    <x v="340"/>
    <x v="2"/>
    <x v="1"/>
    <x v="0"/>
    <n v="60.156393311252103"/>
    <n v="813.39645621041802"/>
    <n v="48930.997137772552"/>
  </r>
  <r>
    <x v="341"/>
    <x v="2"/>
    <x v="1"/>
    <x v="0"/>
    <n v="60.197532350052697"/>
    <n v="813.24998019091197"/>
    <n v="48955.641991222139"/>
  </r>
  <r>
    <x v="342"/>
    <x v="2"/>
    <x v="5"/>
    <x v="3"/>
    <n v="60.238671388853298"/>
    <n v="813.10350417140603"/>
    <n v="48980.274792906435"/>
  </r>
  <r>
    <x v="343"/>
    <x v="2"/>
    <x v="3"/>
    <x v="2"/>
    <n v="60.2798104276538"/>
    <n v="812.957028151901"/>
    <n v="49004.895542825405"/>
  </r>
  <r>
    <x v="344"/>
    <x v="2"/>
    <x v="3"/>
    <x v="3"/>
    <n v="60.320949466454401"/>
    <n v="812.81055213239495"/>
    <n v="49029.504240979099"/>
  </r>
  <r>
    <x v="345"/>
    <x v="2"/>
    <x v="5"/>
    <x v="0"/>
    <n v="60.362088505255002"/>
    <n v="812.66407611289003"/>
    <n v="49054.100887367553"/>
  </r>
  <r>
    <x v="127"/>
    <x v="2"/>
    <x v="5"/>
    <x v="3"/>
    <n v="60.403227544055497"/>
    <n v="812.51760009338398"/>
    <n v="49078.685481990557"/>
  </r>
  <r>
    <x v="346"/>
    <x v="2"/>
    <x v="4"/>
    <x v="4"/>
    <n v="60.444366582856098"/>
    <n v="812.37112407387804"/>
    <n v="49103.258024848357"/>
  </r>
  <r>
    <x v="347"/>
    <x v="2"/>
    <x v="4"/>
    <x v="2"/>
    <n v="60.485505621656699"/>
    <n v="812.22464805437301"/>
    <n v="49127.818515940911"/>
  </r>
  <r>
    <x v="348"/>
    <x v="2"/>
    <x v="0"/>
    <x v="3"/>
    <n v="60.526644660457201"/>
    <n v="812.07817203486695"/>
    <n v="49152.366955268022"/>
  </r>
  <r>
    <x v="349"/>
    <x v="2"/>
    <x v="1"/>
    <x v="2"/>
    <n v="60.567783699257802"/>
    <n v="811.93169601536101"/>
    <n v="49176.903342829923"/>
  </r>
  <r>
    <x v="338"/>
    <x v="2"/>
    <x v="0"/>
    <x v="2"/>
    <n v="60.608922738058403"/>
    <n v="811.78521999585598"/>
    <n v="49201.427678626576"/>
  </r>
  <r>
    <x v="80"/>
    <x v="2"/>
    <x v="4"/>
    <x v="0"/>
    <n v="60.650061776858898"/>
    <n v="811.63874397635004"/>
    <n v="49225.939962657794"/>
  </r>
  <r>
    <x v="350"/>
    <x v="2"/>
    <x v="2"/>
    <x v="4"/>
    <n v="60.691200815659499"/>
    <n v="811.49226795684501"/>
    <n v="49250.440194923845"/>
  </r>
  <r>
    <x v="351"/>
    <x v="2"/>
    <x v="0"/>
    <x v="3"/>
    <n v="60.732339854460101"/>
    <n v="811.34579193733896"/>
    <n v="49274.928375424541"/>
  </r>
  <r>
    <x v="352"/>
    <x v="2"/>
    <x v="3"/>
    <x v="3"/>
    <n v="60.773478893260602"/>
    <n v="811.19931591783302"/>
    <n v="49299.404504159866"/>
  </r>
  <r>
    <x v="353"/>
    <x v="2"/>
    <x v="0"/>
    <x v="3"/>
    <n v="60.814617932061203"/>
    <n v="811.05283989832799"/>
    <n v="49323.868581130024"/>
  </r>
  <r>
    <x v="354"/>
    <x v="2"/>
    <x v="2"/>
    <x v="3"/>
    <n v="60.855756970861798"/>
    <n v="810.90636387882205"/>
    <n v="49348.320606334819"/>
  </r>
  <r>
    <x v="355"/>
    <x v="2"/>
    <x v="0"/>
    <x v="3"/>
    <n v="60.896896009662299"/>
    <n v="810.759887859316"/>
    <n v="49372.760579774236"/>
  </r>
  <r>
    <x v="356"/>
    <x v="2"/>
    <x v="2"/>
    <x v="4"/>
    <n v="60.938035048462901"/>
    <n v="810.61341183981096"/>
    <n v="49397.188501448494"/>
  </r>
  <r>
    <x v="357"/>
    <x v="2"/>
    <x v="3"/>
    <x v="0"/>
    <n v="60.979174087263502"/>
    <n v="810.46693582030503"/>
    <n v="49421.604371357396"/>
  </r>
  <r>
    <x v="358"/>
    <x v="2"/>
    <x v="4"/>
    <x v="0"/>
    <n v="61.020313126064003"/>
    <n v="810.32045980079897"/>
    <n v="49446.008189500913"/>
  </r>
  <r>
    <x v="359"/>
    <x v="2"/>
    <x v="3"/>
    <x v="3"/>
    <n v="61.061452164864598"/>
    <n v="810.17398378129406"/>
    <n v="49470.399955879271"/>
  </r>
  <r>
    <x v="38"/>
    <x v="2"/>
    <x v="5"/>
    <x v="3"/>
    <n v="61.102591203665199"/>
    <n v="810.027507761788"/>
    <n v="49494.779670492273"/>
  </r>
  <r>
    <x v="360"/>
    <x v="2"/>
    <x v="0"/>
    <x v="2"/>
    <n v="61.143730242465701"/>
    <n v="809.88103174228297"/>
    <n v="49519.147333339948"/>
  </r>
  <r>
    <x v="44"/>
    <x v="2"/>
    <x v="4"/>
    <x v="2"/>
    <n v="61.184869281266302"/>
    <n v="809.73455572277703"/>
    <n v="49543.502944422355"/>
  </r>
  <r>
    <x v="361"/>
    <x v="2"/>
    <x v="2"/>
    <x v="1"/>
    <n v="61.226008320066903"/>
    <n v="809.58807970327098"/>
    <n v="49567.846503739456"/>
  </r>
  <r>
    <x v="362"/>
    <x v="2"/>
    <x v="2"/>
    <x v="2"/>
    <n v="61.267147358867398"/>
    <n v="809.44160368376595"/>
    <n v="49592.178011291231"/>
  </r>
  <r>
    <x v="228"/>
    <x v="2"/>
    <x v="5"/>
    <x v="4"/>
    <n v="61.308286397667999"/>
    <n v="809.29512766426001"/>
    <n v="49616.497467077737"/>
  </r>
  <r>
    <x v="83"/>
    <x v="2"/>
    <x v="4"/>
    <x v="2"/>
    <n v="61.3494254364686"/>
    <n v="809.14865164475395"/>
    <n v="49640.804871098939"/>
  </r>
  <r>
    <x v="363"/>
    <x v="2"/>
    <x v="1"/>
    <x v="0"/>
    <n v="61.390564475269102"/>
    <n v="809.00217562524904"/>
    <n v="49665.100223354828"/>
  </r>
  <r>
    <x v="364"/>
    <x v="2"/>
    <x v="0"/>
    <x v="3"/>
    <n v="61.431703514069703"/>
    <n v="808.85569960574298"/>
    <n v="49689.383523845427"/>
  </r>
  <r>
    <x v="58"/>
    <x v="2"/>
    <x v="0"/>
    <x v="3"/>
    <n v="61.472842552870297"/>
    <n v="808.70922358623704"/>
    <n v="49713.654772570735"/>
  </r>
  <r>
    <x v="365"/>
    <x v="2"/>
    <x v="1"/>
    <x v="2"/>
    <n v="61.513981591670799"/>
    <n v="808.56274756673201"/>
    <n v="49737.913969530717"/>
  </r>
  <r>
    <x v="366"/>
    <x v="2"/>
    <x v="4"/>
    <x v="2"/>
    <n v="61.5551206304714"/>
    <n v="808.41627154722596"/>
    <n v="49762.161114725415"/>
  </r>
  <r>
    <x v="367"/>
    <x v="2"/>
    <x v="5"/>
    <x v="2"/>
    <n v="61.596259669272001"/>
    <n v="808.26979552772002"/>
    <n v="49786.396208154831"/>
  </r>
  <r>
    <x v="368"/>
    <x v="2"/>
    <x v="1"/>
    <x v="1"/>
    <n v="61.637398708072503"/>
    <n v="808.12331950821499"/>
    <n v="49810.619249818912"/>
  </r>
  <r>
    <x v="369"/>
    <x v="2"/>
    <x v="2"/>
    <x v="0"/>
    <n v="61.678537746873097"/>
    <n v="807.97684348870905"/>
    <n v="49834.830239717718"/>
  </r>
  <r>
    <x v="370"/>
    <x v="2"/>
    <x v="5"/>
    <x v="2"/>
    <n v="61.719676785673698"/>
    <n v="807.83036746920402"/>
    <n v="49859.029177851284"/>
  </r>
  <r>
    <x v="128"/>
    <x v="2"/>
    <x v="3"/>
    <x v="2"/>
    <n v="61.7608158244742"/>
    <n v="807.68389144969797"/>
    <n v="49883.216064219407"/>
  </r>
  <r>
    <x v="371"/>
    <x v="2"/>
    <x v="4"/>
    <x v="3"/>
    <n v="61.801954863274801"/>
    <n v="807.53741543019203"/>
    <n v="49907.390898822319"/>
  </r>
  <r>
    <x v="372"/>
    <x v="2"/>
    <x v="0"/>
    <x v="2"/>
    <n v="61.843093902075402"/>
    <n v="807.390939410687"/>
    <n v="49931.553681659985"/>
  </r>
  <r>
    <x v="373"/>
    <x v="2"/>
    <x v="1"/>
    <x v="1"/>
    <n v="61.884232940875897"/>
    <n v="807.24446339118094"/>
    <n v="49955.704412732208"/>
  </r>
  <r>
    <x v="374"/>
    <x v="2"/>
    <x v="4"/>
    <x v="3"/>
    <n v="61.925371979676498"/>
    <n v="807.097987371675"/>
    <n v="49979.84309203922"/>
  </r>
  <r>
    <x v="180"/>
    <x v="2"/>
    <x v="4"/>
    <x v="1"/>
    <n v="61.9665110184771"/>
    <n v="806.95151135216997"/>
    <n v="50003.969719580986"/>
  </r>
  <r>
    <x v="375"/>
    <x v="2"/>
    <x v="2"/>
    <x v="2"/>
    <n v="62.007650057277601"/>
    <n v="806.80503533266403"/>
    <n v="50028.084295357323"/>
  </r>
  <r>
    <x v="376"/>
    <x v="2"/>
    <x v="1"/>
    <x v="2"/>
    <n v="62.048789096078202"/>
    <n v="806.65855931315798"/>
    <n v="50052.186819368428"/>
  </r>
  <r>
    <x v="377"/>
    <x v="3"/>
    <x v="5"/>
    <x v="3"/>
    <n v="62.089928134878797"/>
    <n v="806.51208329365295"/>
    <n v="50076.277291614293"/>
  </r>
  <r>
    <x v="151"/>
    <x v="3"/>
    <x v="3"/>
    <x v="0"/>
    <n v="62.131067173679298"/>
    <n v="806.36560727414701"/>
    <n v="50100.35571209473"/>
  </r>
  <r>
    <x v="378"/>
    <x v="3"/>
    <x v="3"/>
    <x v="3"/>
    <n v="62.1722062124799"/>
    <n v="806.21913125464198"/>
    <n v="50124.42208081"/>
  </r>
  <r>
    <x v="126"/>
    <x v="3"/>
    <x v="3"/>
    <x v="2"/>
    <n v="62.213345251280501"/>
    <n v="806.07265523513604"/>
    <n v="50148.476397759914"/>
  </r>
  <r>
    <x v="379"/>
    <x v="3"/>
    <x v="0"/>
    <x v="0"/>
    <n v="62.254484290081002"/>
    <n v="805.92617921562999"/>
    <n v="50172.518662944443"/>
  </r>
  <r>
    <x v="380"/>
    <x v="3"/>
    <x v="2"/>
    <x v="1"/>
    <n v="62.295623328881597"/>
    <n v="805.77970319612496"/>
    <n v="50196.548876363813"/>
  </r>
  <r>
    <x v="381"/>
    <x v="3"/>
    <x v="2"/>
    <x v="3"/>
    <n v="62.336762367682198"/>
    <n v="805.63322717661902"/>
    <n v="50220.567038017827"/>
  </r>
  <r>
    <x v="382"/>
    <x v="3"/>
    <x v="5"/>
    <x v="0"/>
    <n v="62.3779014064827"/>
    <n v="805.48675115711296"/>
    <n v="50244.573147906456"/>
  </r>
  <r>
    <x v="383"/>
    <x v="3"/>
    <x v="5"/>
    <x v="3"/>
    <n v="62.419040445283301"/>
    <n v="805.34027513760805"/>
    <n v="50268.56720602994"/>
  </r>
  <r>
    <x v="29"/>
    <x v="3"/>
    <x v="0"/>
    <x v="3"/>
    <n v="62.460179484083902"/>
    <n v="805.19379911810199"/>
    <n v="50292.549212388047"/>
  </r>
  <r>
    <x v="384"/>
    <x v="3"/>
    <x v="5"/>
    <x v="1"/>
    <n v="62.501318522884397"/>
    <n v="805.04732309859605"/>
    <n v="50316.519166980783"/>
  </r>
  <r>
    <x v="221"/>
    <x v="3"/>
    <x v="2"/>
    <x v="2"/>
    <n v="62.542457561684998"/>
    <n v="804.90084707909102"/>
    <n v="50340.477069808359"/>
  </r>
  <r>
    <x v="385"/>
    <x v="3"/>
    <x v="1"/>
    <x v="2"/>
    <n v="62.583596600485599"/>
    <n v="804.75437105958497"/>
    <n v="50364.422920870566"/>
  </r>
  <r>
    <x v="386"/>
    <x v="3"/>
    <x v="0"/>
    <x v="2"/>
    <n v="62.624735639286101"/>
    <n v="804.60789504007903"/>
    <n v="50388.356720167409"/>
  </r>
  <r>
    <x v="387"/>
    <x v="3"/>
    <x v="2"/>
    <x v="2"/>
    <n v="62.665874678086702"/>
    <n v="804.461419020574"/>
    <n v="50412.278467699085"/>
  </r>
  <r>
    <x v="93"/>
    <x v="3"/>
    <x v="1"/>
    <x v="2"/>
    <n v="62.707013716887303"/>
    <n v="804.31494300106795"/>
    <n v="50436.188163465398"/>
  </r>
  <r>
    <x v="388"/>
    <x v="3"/>
    <x v="3"/>
    <x v="2"/>
    <n v="62.748152755687798"/>
    <n v="804.16846698156201"/>
    <n v="50460.085807466334"/>
  </r>
  <r>
    <x v="389"/>
    <x v="3"/>
    <x v="1"/>
    <x v="1"/>
    <n v="62.789291794488399"/>
    <n v="804.02199096205698"/>
    <n v="50483.97139970211"/>
  </r>
  <r>
    <x v="390"/>
    <x v="3"/>
    <x v="5"/>
    <x v="3"/>
    <n v="62.830430833289"/>
    <n v="803.87551494255104"/>
    <n v="50507.84494017253"/>
  </r>
  <r>
    <x v="391"/>
    <x v="3"/>
    <x v="2"/>
    <x v="2"/>
    <n v="62.871569872089502"/>
    <n v="803.72903892304601"/>
    <n v="50531.706428877631"/>
  </r>
  <r>
    <x v="63"/>
    <x v="3"/>
    <x v="3"/>
    <x v="3"/>
    <n v="62.912708910890103"/>
    <n v="803.58256290353995"/>
    <n v="50555.555865817441"/>
  </r>
  <r>
    <x v="392"/>
    <x v="3"/>
    <x v="1"/>
    <x v="3"/>
    <n v="62.953847949690697"/>
    <n v="803.43608688403401"/>
    <n v="50579.393250991961"/>
  </r>
  <r>
    <x v="393"/>
    <x v="3"/>
    <x v="0"/>
    <x v="0"/>
    <n v="62.994986988491199"/>
    <n v="803.28961086452898"/>
    <n v="50603.218584401162"/>
  </r>
  <r>
    <x v="394"/>
    <x v="3"/>
    <x v="0"/>
    <x v="0"/>
    <n v="63.0361260272918"/>
    <n v="803.14313484502304"/>
    <n v="50627.031866045087"/>
  </r>
  <r>
    <x v="395"/>
    <x v="3"/>
    <x v="0"/>
    <x v="1"/>
    <n v="63.077265066092401"/>
    <n v="802.99665882551699"/>
    <n v="50650.833095923699"/>
  </r>
  <r>
    <x v="396"/>
    <x v="3"/>
    <x v="2"/>
    <x v="4"/>
    <n v="63.118404104892903"/>
    <n v="802.85018280601196"/>
    <n v="50674.622274036999"/>
  </r>
  <r>
    <x v="343"/>
    <x v="3"/>
    <x v="3"/>
    <x v="1"/>
    <n v="63.159543143693497"/>
    <n v="802.70370678650602"/>
    <n v="50698.399400385024"/>
  </r>
  <r>
    <x v="397"/>
    <x v="3"/>
    <x v="1"/>
    <x v="1"/>
    <n v="63.200682182494099"/>
    <n v="802.55723076700099"/>
    <n v="50722.164474967802"/>
  </r>
  <r>
    <x v="398"/>
    <x v="3"/>
    <x v="4"/>
    <x v="2"/>
    <n v="63.2418212212946"/>
    <n v="802.41075474749505"/>
    <n v="50745.917497785151"/>
  </r>
  <r>
    <x v="343"/>
    <x v="3"/>
    <x v="4"/>
    <x v="0"/>
    <n v="63.282960260095201"/>
    <n v="802.26427872798899"/>
    <n v="50769.658468837268"/>
  </r>
  <r>
    <x v="399"/>
    <x v="3"/>
    <x v="1"/>
    <x v="3"/>
    <n v="63.324099298895803"/>
    <n v="802.11780270848396"/>
    <n v="50793.387388124152"/>
  </r>
  <r>
    <x v="208"/>
    <x v="3"/>
    <x v="4"/>
    <x v="0"/>
    <n v="63.365238337696297"/>
    <n v="801.97132668897802"/>
    <n v="50817.104255645594"/>
  </r>
  <r>
    <x v="400"/>
    <x v="3"/>
    <x v="4"/>
    <x v="3"/>
    <n v="63.406377376496899"/>
    <n v="801.82485066947197"/>
    <n v="50840.809071401811"/>
  </r>
  <r>
    <x v="401"/>
    <x v="3"/>
    <x v="3"/>
    <x v="2"/>
    <n v="63.4475164152975"/>
    <n v="801.67837464996705"/>
    <n v="50864.501835392803"/>
  </r>
  <r>
    <x v="402"/>
    <x v="3"/>
    <x v="0"/>
    <x v="1"/>
    <n v="63.488655454098001"/>
    <n v="801.531898630461"/>
    <n v="50888.182547618344"/>
  </r>
  <r>
    <x v="403"/>
    <x v="3"/>
    <x v="3"/>
    <x v="1"/>
    <n v="63.529794492898603"/>
    <n v="801.38542261095495"/>
    <n v="50911.851208078668"/>
  </r>
  <r>
    <x v="404"/>
    <x v="3"/>
    <x v="0"/>
    <x v="1"/>
    <n v="63.570933531699197"/>
    <n v="801.23894659145003"/>
    <n v="50935.507816773752"/>
  </r>
  <r>
    <x v="370"/>
    <x v="3"/>
    <x v="5"/>
    <x v="3"/>
    <n v="63.612072570499699"/>
    <n v="801.09247057194398"/>
    <n v="50959.152373703393"/>
  </r>
  <r>
    <x v="405"/>
    <x v="3"/>
    <x v="4"/>
    <x v="1"/>
    <n v="63.6532116093003"/>
    <n v="800.94599455243804"/>
    <n v="50982.784878867824"/>
  </r>
  <r>
    <x v="406"/>
    <x v="3"/>
    <x v="4"/>
    <x v="0"/>
    <n v="63.694350648100901"/>
    <n v="800.79951853293301"/>
    <n v="51006.405332267008"/>
  </r>
  <r>
    <x v="407"/>
    <x v="3"/>
    <x v="1"/>
    <x v="3"/>
    <n v="63.735489686901403"/>
    <n v="800.65304251342695"/>
    <n v="51030.013733900756"/>
  </r>
  <r>
    <x v="145"/>
    <x v="3"/>
    <x v="2"/>
    <x v="1"/>
    <n v="63.776628725701997"/>
    <n v="800.50656649392101"/>
    <n v="51053.610083769279"/>
  </r>
  <r>
    <x v="408"/>
    <x v="3"/>
    <x v="5"/>
    <x v="4"/>
    <n v="63.817767764502598"/>
    <n v="800.36009047441598"/>
    <n v="51077.19438187257"/>
  </r>
  <r>
    <x v="409"/>
    <x v="3"/>
    <x v="1"/>
    <x v="2"/>
    <n v="63.8589068033031"/>
    <n v="800.21361445491004"/>
    <n v="51100.766628210418"/>
  </r>
  <r>
    <x v="410"/>
    <x v="3"/>
    <x v="1"/>
    <x v="1"/>
    <n v="63.900045842103701"/>
    <n v="800.06713843540501"/>
    <n v="51124.326822783107"/>
  </r>
  <r>
    <x v="92"/>
    <x v="3"/>
    <x v="3"/>
    <x v="2"/>
    <n v="63.941184880904302"/>
    <n v="799.92066241589896"/>
    <n v="51147.874965590432"/>
  </r>
  <r>
    <x v="411"/>
    <x v="3"/>
    <x v="0"/>
    <x v="4"/>
    <n v="63.982323919704797"/>
    <n v="799.77418639639302"/>
    <n v="51171.41105663238"/>
  </r>
  <r>
    <x v="412"/>
    <x v="3"/>
    <x v="3"/>
    <x v="4"/>
    <n v="64.023462958505405"/>
    <n v="799.62771037688799"/>
    <n v="51194.935095909175"/>
  </r>
  <r>
    <x v="413"/>
    <x v="3"/>
    <x v="2"/>
    <x v="4"/>
    <n v="64.064601997305999"/>
    <n v="799.48123435738205"/>
    <n v="51218.4470834206"/>
  </r>
  <r>
    <x v="414"/>
    <x v="3"/>
    <x v="0"/>
    <x v="2"/>
    <n v="64.105741036106494"/>
    <n v="799.334758337876"/>
    <n v="51241.947019166648"/>
  </r>
  <r>
    <x v="415"/>
    <x v="3"/>
    <x v="0"/>
    <x v="1"/>
    <n v="64.146880074907102"/>
    <n v="799.18828231837097"/>
    <n v="51265.434903147543"/>
  </r>
  <r>
    <x v="416"/>
    <x v="3"/>
    <x v="1"/>
    <x v="0"/>
    <n v="64.188019113707696"/>
    <n v="799.04180629886503"/>
    <n v="51288.910735363068"/>
  </r>
  <r>
    <x v="417"/>
    <x v="3"/>
    <x v="0"/>
    <x v="3"/>
    <n v="64.229158152508205"/>
    <n v="798.89533027936"/>
    <n v="51312.374515813288"/>
  </r>
  <r>
    <x v="418"/>
    <x v="3"/>
    <x v="5"/>
    <x v="2"/>
    <n v="64.270297191308799"/>
    <n v="798.74885425985406"/>
    <n v="51335.826244498217"/>
  </r>
  <r>
    <x v="419"/>
    <x v="3"/>
    <x v="1"/>
    <x v="3"/>
    <n v="64.311436230109393"/>
    <n v="798.602378240348"/>
    <n v="51359.265921417842"/>
  </r>
  <r>
    <x v="420"/>
    <x v="3"/>
    <x v="5"/>
    <x v="2"/>
    <n v="64.352575268909902"/>
    <n v="798.45590222084297"/>
    <n v="51382.693546572162"/>
  </r>
  <r>
    <x v="157"/>
    <x v="3"/>
    <x v="2"/>
    <x v="3"/>
    <n v="64.393714307710496"/>
    <n v="798.309426202037"/>
    <n v="51406.109120006266"/>
  </r>
  <r>
    <x v="421"/>
    <x v="3"/>
    <x v="4"/>
    <x v="2"/>
    <n v="64.434853346511105"/>
    <n v="798.16295018183098"/>
    <n v="51429.51264158493"/>
  </r>
  <r>
    <x v="422"/>
    <x v="3"/>
    <x v="3"/>
    <x v="4"/>
    <n v="64.475992385311599"/>
    <n v="798.01647416232595"/>
    <n v="51452.904111443335"/>
  </r>
  <r>
    <x v="423"/>
    <x v="3"/>
    <x v="0"/>
    <x v="1"/>
    <n v="64.517131424112193"/>
    <n v="797.86999814282001"/>
    <n v="51476.283529536471"/>
  </r>
  <r>
    <x v="424"/>
    <x v="3"/>
    <x v="2"/>
    <x v="2"/>
    <n v="64.558270462912802"/>
    <n v="797.72352212331396"/>
    <n v="51499.65089586431"/>
  </r>
  <r>
    <x v="146"/>
    <x v="3"/>
    <x v="5"/>
    <x v="3"/>
    <n v="64.599409501713296"/>
    <n v="797.57704610380904"/>
    <n v="51523.006210426829"/>
  </r>
  <r>
    <x v="425"/>
    <x v="3"/>
    <x v="1"/>
    <x v="3"/>
    <n v="64.640548540513905"/>
    <n v="797.43057008430299"/>
    <n v="51546.349473224065"/>
  </r>
  <r>
    <x v="426"/>
    <x v="3"/>
    <x v="4"/>
    <x v="1"/>
    <n v="64.681687579314499"/>
    <n v="797.28409406479705"/>
    <n v="51569.680684255996"/>
  </r>
  <r>
    <x v="427"/>
    <x v="3"/>
    <x v="0"/>
    <x v="2"/>
    <n v="64.722826618114993"/>
    <n v="797.13761804529202"/>
    <n v="51592.999843522608"/>
  </r>
  <r>
    <x v="428"/>
    <x v="3"/>
    <x v="2"/>
    <x v="1"/>
    <n v="64.763965656915602"/>
    <n v="796.99114202578596"/>
    <n v="51616.306951023944"/>
  </r>
  <r>
    <x v="223"/>
    <x v="3"/>
    <x v="2"/>
    <x v="0"/>
    <n v="64.805104695716196"/>
    <n v="796.84466600628002"/>
    <n v="51639.602006759982"/>
  </r>
  <r>
    <x v="429"/>
    <x v="3"/>
    <x v="1"/>
    <x v="3"/>
    <n v="64.846243734516705"/>
    <n v="796.69818998677499"/>
    <n v="51662.885010730708"/>
  </r>
  <r>
    <x v="331"/>
    <x v="3"/>
    <x v="3"/>
    <x v="2"/>
    <n v="64.887382773317299"/>
    <n v="796.55171396726905"/>
    <n v="51686.155962936144"/>
  </r>
  <r>
    <x v="430"/>
    <x v="3"/>
    <x v="4"/>
    <x v="4"/>
    <n v="64.928521812117907"/>
    <n v="796.40523794776402"/>
    <n v="51709.414863376347"/>
  </r>
  <r>
    <x v="431"/>
    <x v="3"/>
    <x v="1"/>
    <x v="3"/>
    <n v="64.969660850918402"/>
    <n v="796.25876192825797"/>
    <n v="51732.6617120511"/>
  </r>
  <r>
    <x v="432"/>
    <x v="3"/>
    <x v="5"/>
    <x v="1"/>
    <n v="65.010799889718996"/>
    <n v="796.11228590875203"/>
    <n v="51755.896508960635"/>
  </r>
  <r>
    <x v="433"/>
    <x v="3"/>
    <x v="3"/>
    <x v="3"/>
    <n v="65.051938928519604"/>
    <n v="795.965809889247"/>
    <n v="51779.119254104939"/>
  </r>
  <r>
    <x v="434"/>
    <x v="4"/>
    <x v="4"/>
    <x v="3"/>
    <n v="65.093077967320099"/>
    <n v="795.81933386974094"/>
    <n v="51802.329947483791"/>
  </r>
  <r>
    <x v="435"/>
    <x v="4"/>
    <x v="0"/>
    <x v="3"/>
    <n v="65.134217006120707"/>
    <n v="795.672857850235"/>
    <n v="51825.528589097441"/>
  </r>
  <r>
    <x v="436"/>
    <x v="4"/>
    <x v="4"/>
    <x v="2"/>
    <n v="65.175356044921301"/>
    <n v="795.52638183072997"/>
    <n v="51848.715178945837"/>
  </r>
  <r>
    <x v="437"/>
    <x v="4"/>
    <x v="5"/>
    <x v="3"/>
    <n v="65.216495083721796"/>
    <n v="795.37990581122403"/>
    <n v="51871.889717028796"/>
  </r>
  <r>
    <x v="438"/>
    <x v="0"/>
    <x v="0"/>
    <x v="0"/>
    <n v="65.257634122522404"/>
    <n v="795.233429791719"/>
    <n v="51895.052203346604"/>
  </r>
  <r>
    <x v="138"/>
    <x v="0"/>
    <x v="1"/>
    <x v="1"/>
    <n v="65.298773161322998"/>
    <n v="795.08695377221295"/>
    <n v="51918.202637899041"/>
  </r>
  <r>
    <x v="439"/>
    <x v="0"/>
    <x v="2"/>
    <x v="1"/>
    <n v="65.339912200123507"/>
    <n v="794.94047775270701"/>
    <n v="51941.341020686108"/>
  </r>
  <r>
    <x v="440"/>
    <x v="0"/>
    <x v="3"/>
    <x v="2"/>
    <n v="65.381051238924101"/>
    <n v="794.79400173320198"/>
    <n v="51964.467351708008"/>
  </r>
  <r>
    <x v="441"/>
    <x v="0"/>
    <x v="0"/>
    <x v="2"/>
    <n v="65.422190277724695"/>
    <n v="794.64752571369604"/>
    <n v="51987.581630964552"/>
  </r>
  <r>
    <x v="308"/>
    <x v="0"/>
    <x v="2"/>
    <x v="2"/>
    <n v="65.463329316525204"/>
    <n v="794.50104969418999"/>
    <n v="52010.683858455719"/>
  </r>
  <r>
    <x v="148"/>
    <x v="0"/>
    <x v="2"/>
    <x v="3"/>
    <n v="65.504468355325798"/>
    <n v="794.35457367468496"/>
    <n v="52033.774034181719"/>
  </r>
  <r>
    <x v="442"/>
    <x v="0"/>
    <x v="2"/>
    <x v="4"/>
    <n v="65.545607394126407"/>
    <n v="794.20809765517902"/>
    <n v="52056.85215814237"/>
  </r>
  <r>
    <x v="443"/>
    <x v="0"/>
    <x v="4"/>
    <x v="0"/>
    <n v="65.586746432926901"/>
    <n v="794.06162163567296"/>
    <n v="52079.918230337622"/>
  </r>
  <r>
    <x v="444"/>
    <x v="0"/>
    <x v="4"/>
    <x v="2"/>
    <n v="65.627885471727495"/>
    <n v="793.91514561616805"/>
    <n v="52102.972250767736"/>
  </r>
  <r>
    <x v="445"/>
    <x v="0"/>
    <x v="5"/>
    <x v="2"/>
    <n v="65.669024510528104"/>
    <n v="793.76866959666199"/>
    <n v="52126.01421943248"/>
  </r>
  <r>
    <x v="446"/>
    <x v="0"/>
    <x v="4"/>
    <x v="1"/>
    <n v="65.710163549328598"/>
    <n v="793.62219357715605"/>
    <n v="52149.044136331846"/>
  </r>
  <r>
    <x v="447"/>
    <x v="0"/>
    <x v="0"/>
    <x v="3"/>
    <n v="65.751302588129207"/>
    <n v="793.47571755765102"/>
    <n v="52172.06200146606"/>
  </r>
  <r>
    <x v="448"/>
    <x v="0"/>
    <x v="2"/>
    <x v="3"/>
    <n v="65.792441626929801"/>
    <n v="793.32924153814497"/>
    <n v="52195.067814834896"/>
  </r>
  <r>
    <x v="449"/>
    <x v="0"/>
    <x v="4"/>
    <x v="3"/>
    <n v="65.833580665730295"/>
    <n v="793.18276551863903"/>
    <n v="52218.061576438362"/>
  </r>
  <r>
    <x v="450"/>
    <x v="0"/>
    <x v="2"/>
    <x v="3"/>
    <n v="65.874719704530904"/>
    <n v="793.036289499134"/>
    <n v="52241.043286276676"/>
  </r>
  <r>
    <x v="451"/>
    <x v="0"/>
    <x v="5"/>
    <x v="3"/>
    <n v="65.915858743331498"/>
    <n v="792.88981347962795"/>
    <n v="52264.012944349612"/>
  </r>
  <r>
    <x v="110"/>
    <x v="0"/>
    <x v="2"/>
    <x v="3"/>
    <n v="65.956997782132007"/>
    <n v="792.74333746012303"/>
    <n v="52286.970550657257"/>
  </r>
  <r>
    <x v="334"/>
    <x v="0"/>
    <x v="0"/>
    <x v="1"/>
    <n v="65.998136820932601"/>
    <n v="792.59686144061698"/>
    <n v="52309.916105199598"/>
  </r>
  <r>
    <x v="406"/>
    <x v="0"/>
    <x v="5"/>
    <x v="3"/>
    <n v="66.039275859733195"/>
    <n v="792.45038542111104"/>
    <n v="52332.849607976641"/>
  </r>
  <r>
    <x v="452"/>
    <x v="0"/>
    <x v="0"/>
    <x v="3"/>
    <n v="66.080414898533704"/>
    <n v="792.30390940160601"/>
    <n v="52355.771058988386"/>
  </r>
  <r>
    <x v="453"/>
    <x v="0"/>
    <x v="3"/>
    <x v="3"/>
    <n v="66.121553937334298"/>
    <n v="792.15743338209995"/>
    <n v="52378.68045823482"/>
  </r>
  <r>
    <x v="247"/>
    <x v="0"/>
    <x v="0"/>
    <x v="3"/>
    <n v="66.162692976134906"/>
    <n v="792.01095736259401"/>
    <n v="52401.577805715984"/>
  </r>
  <r>
    <x v="216"/>
    <x v="0"/>
    <x v="5"/>
    <x v="2"/>
    <n v="66.203832021935398"/>
    <n v="791.86448134308898"/>
    <n v="52424.463106974858"/>
  </r>
  <r>
    <x v="173"/>
    <x v="0"/>
    <x v="4"/>
    <x v="1"/>
    <n v="66.244971053735995"/>
    <n v="791.71800532358304"/>
    <n v="52447.336345382362"/>
  </r>
  <r>
    <x v="454"/>
    <x v="0"/>
    <x v="1"/>
    <x v="2"/>
    <n v="66.286110092536603"/>
    <n v="791.57152930407801"/>
    <n v="52470.197537567678"/>
  </r>
  <r>
    <x v="455"/>
    <x v="0"/>
    <x v="1"/>
    <x v="2"/>
    <n v="66.327249131337098"/>
    <n v="791.42505328457196"/>
    <n v="52493.046677987542"/>
  </r>
  <r>
    <x v="456"/>
    <x v="0"/>
    <x v="3"/>
    <x v="3"/>
    <n v="66.368388170137706"/>
    <n v="791.27857726506602"/>
    <n v="52515.883766642204"/>
  </r>
  <r>
    <x v="457"/>
    <x v="0"/>
    <x v="5"/>
    <x v="3"/>
    <n v="66.4095272089383"/>
    <n v="791.13210124556099"/>
    <n v="52538.708803531612"/>
  </r>
  <r>
    <x v="458"/>
    <x v="0"/>
    <x v="5"/>
    <x v="0"/>
    <n v="66.450666247738795"/>
    <n v="790.98562522605505"/>
    <n v="52561.521788655584"/>
  </r>
  <r>
    <x v="459"/>
    <x v="0"/>
    <x v="5"/>
    <x v="2"/>
    <n v="66.491805286539403"/>
    <n v="790.839149206549"/>
    <n v="52584.322722014338"/>
  </r>
  <r>
    <x v="460"/>
    <x v="0"/>
    <x v="0"/>
    <x v="0"/>
    <n v="66.532944325339997"/>
    <n v="790.69267318704397"/>
    <n v="52607.111603607853"/>
  </r>
  <r>
    <x v="461"/>
    <x v="0"/>
    <x v="4"/>
    <x v="1"/>
    <n v="66.574083364140506"/>
    <n v="790.54619716753803"/>
    <n v="52629.888433435932"/>
  </r>
  <r>
    <x v="409"/>
    <x v="0"/>
    <x v="5"/>
    <x v="2"/>
    <n v="66.6152224029411"/>
    <n v="790.39972114803197"/>
    <n v="52652.653211498779"/>
  </r>
  <r>
    <x v="462"/>
    <x v="0"/>
    <x v="2"/>
    <x v="2"/>
    <n v="66.656361441741694"/>
    <n v="790.25324512852706"/>
    <n v="52675.4059377964"/>
  </r>
  <r>
    <x v="155"/>
    <x v="0"/>
    <x v="4"/>
    <x v="2"/>
    <n v="66.697500480542203"/>
    <n v="790.106769109021"/>
    <n v="52698.146612328579"/>
  </r>
  <r>
    <x v="463"/>
    <x v="0"/>
    <x v="5"/>
    <x v="2"/>
    <n v="66.738639519342797"/>
    <n v="789.96029308951495"/>
    <n v="52720.875235095518"/>
  </r>
  <r>
    <x v="464"/>
    <x v="0"/>
    <x v="1"/>
    <x v="3"/>
    <n v="66.779778558143406"/>
    <n v="789.81381707001003"/>
    <n v="52743.591806097254"/>
  </r>
  <r>
    <x v="228"/>
    <x v="0"/>
    <x v="1"/>
    <x v="1"/>
    <n v="66.8209175969439"/>
    <n v="789.66734105050398"/>
    <n v="52766.296325333518"/>
  </r>
  <r>
    <x v="104"/>
    <x v="0"/>
    <x v="3"/>
    <x v="3"/>
    <n v="66.862056635744494"/>
    <n v="789.52086503099804"/>
    <n v="52788.988792804579"/>
  </r>
  <r>
    <x v="465"/>
    <x v="0"/>
    <x v="2"/>
    <x v="2"/>
    <n v="66.903195674545103"/>
    <n v="789.37438901149301"/>
    <n v="52811.6692085104"/>
  </r>
  <r>
    <x v="466"/>
    <x v="0"/>
    <x v="3"/>
    <x v="2"/>
    <n v="66.944334713345597"/>
    <n v="789.22791299198695"/>
    <n v="52834.337572450771"/>
  </r>
  <r>
    <x v="467"/>
    <x v="0"/>
    <x v="1"/>
    <x v="1"/>
    <n v="66.985473752146206"/>
    <n v="789.08143697248204"/>
    <n v="52856.993884626005"/>
  </r>
  <r>
    <x v="468"/>
    <x v="0"/>
    <x v="4"/>
    <x v="2"/>
    <n v="67.0266127909468"/>
    <n v="788.93496095297598"/>
    <n v="52879.638145035853"/>
  </r>
  <r>
    <x v="469"/>
    <x v="0"/>
    <x v="3"/>
    <x v="2"/>
    <n v="67.067751829747294"/>
    <n v="788.78848493347004"/>
    <n v="52902.270353680331"/>
  </r>
  <r>
    <x v="470"/>
    <x v="0"/>
    <x v="3"/>
    <x v="2"/>
    <n v="67.108890868547903"/>
    <n v="788.64200891396501"/>
    <n v="52924.890510559657"/>
  </r>
  <r>
    <x v="471"/>
    <x v="0"/>
    <x v="3"/>
    <x v="2"/>
    <n v="67.150029907348497"/>
    <n v="788.49553289445896"/>
    <n v="52947.498615673612"/>
  </r>
  <r>
    <x v="472"/>
    <x v="0"/>
    <x v="5"/>
    <x v="0"/>
    <n v="67.191168946149006"/>
    <n v="788.34905687495302"/>
    <n v="52970.094669022197"/>
  </r>
  <r>
    <x v="473"/>
    <x v="0"/>
    <x v="4"/>
    <x v="1"/>
    <n v="67.2323079849496"/>
    <n v="788.20258085544799"/>
    <n v="52992.678670605615"/>
  </r>
  <r>
    <x v="474"/>
    <x v="0"/>
    <x v="5"/>
    <x v="3"/>
    <n v="67.273447023750194"/>
    <n v="788.05610483594205"/>
    <n v="53015.250620423678"/>
  </r>
  <r>
    <x v="475"/>
    <x v="0"/>
    <x v="1"/>
    <x v="1"/>
    <n v="67.314586062550703"/>
    <n v="787.909628816436"/>
    <n v="53037.810518476363"/>
  </r>
  <r>
    <x v="175"/>
    <x v="0"/>
    <x v="1"/>
    <x v="1"/>
    <n v="67.355725101351297"/>
    <n v="787.76315279693097"/>
    <n v="53060.358364763881"/>
  </r>
  <r>
    <x v="476"/>
    <x v="0"/>
    <x v="0"/>
    <x v="1"/>
    <n v="67.396864140151905"/>
    <n v="787.61667677742503"/>
    <n v="53082.89415928605"/>
  </r>
  <r>
    <x v="116"/>
    <x v="0"/>
    <x v="2"/>
    <x v="3"/>
    <n v="67.4380031789524"/>
    <n v="787.47020075792"/>
    <n v="53105.417902042893"/>
  </r>
  <r>
    <x v="477"/>
    <x v="0"/>
    <x v="4"/>
    <x v="0"/>
    <n v="67.479142217752994"/>
    <n v="787.32372473841394"/>
    <n v="53127.929593034445"/>
  </r>
  <r>
    <x v="478"/>
    <x v="0"/>
    <x v="2"/>
    <x v="2"/>
    <n v="67.520281256553602"/>
    <n v="787.177248718908"/>
    <n v="53150.429232260714"/>
  </r>
  <r>
    <x v="479"/>
    <x v="0"/>
    <x v="0"/>
    <x v="3"/>
    <n v="67.561420295354097"/>
    <n v="787.03077269940297"/>
    <n v="53172.916819721664"/>
  </r>
  <r>
    <x v="480"/>
    <x v="0"/>
    <x v="0"/>
    <x v="1"/>
    <n v="67.602559334154705"/>
    <n v="786.88429667989703"/>
    <n v="53195.392355417331"/>
  </r>
  <r>
    <x v="481"/>
    <x v="0"/>
    <x v="4"/>
    <x v="2"/>
    <n v="67.643698372955299"/>
    <n v="786.73782066039098"/>
    <n v="53217.855839347685"/>
  </r>
  <r>
    <x v="482"/>
    <x v="0"/>
    <x v="1"/>
    <x v="2"/>
    <n v="67.684837411755794"/>
    <n v="786.59134464088595"/>
    <n v="53240.307271512735"/>
  </r>
  <r>
    <x v="483"/>
    <x v="0"/>
    <x v="4"/>
    <x v="3"/>
    <n v="67.725976450556402"/>
    <n v="786.44486862138001"/>
    <n v="53262.746651912508"/>
  </r>
  <r>
    <x v="484"/>
    <x v="0"/>
    <x v="1"/>
    <x v="3"/>
    <n v="67.767115489356996"/>
    <n v="786.29839260187396"/>
    <n v="53285.173980546962"/>
  </r>
  <r>
    <x v="168"/>
    <x v="0"/>
    <x v="5"/>
    <x v="1"/>
    <n v="67.808254528157505"/>
    <n v="786.15191658236904"/>
    <n v="53307.589257416126"/>
  </r>
  <r>
    <x v="485"/>
    <x v="0"/>
    <x v="3"/>
    <x v="3"/>
    <n v="67.849393566958099"/>
    <n v="786.00544056286299"/>
    <n v="53329.992482519985"/>
  </r>
  <r>
    <x v="486"/>
    <x v="1"/>
    <x v="3"/>
    <x v="1"/>
    <n v="67.890532605758693"/>
    <n v="785.85896454335796"/>
    <n v="53352.383655858612"/>
  </r>
  <r>
    <x v="487"/>
    <x v="1"/>
    <x v="2"/>
    <x v="1"/>
    <n v="67.931671644559202"/>
    <n v="785.71248852385202"/>
    <n v="53374.762777431803"/>
  </r>
  <r>
    <x v="488"/>
    <x v="1"/>
    <x v="3"/>
    <x v="2"/>
    <n v="67.972810683359796"/>
    <n v="785.56601250434596"/>
    <n v="53397.129847239761"/>
  </r>
  <r>
    <x v="461"/>
    <x v="1"/>
    <x v="0"/>
    <x v="3"/>
    <n v="68.013949722160405"/>
    <n v="785.41953648484105"/>
    <n v="53419.484865282509"/>
  </r>
  <r>
    <x v="489"/>
    <x v="1"/>
    <x v="4"/>
    <x v="3"/>
    <n v="68.055088760960899"/>
    <n v="785.27306046533499"/>
    <n v="53441.827831559785"/>
  </r>
  <r>
    <x v="490"/>
    <x v="1"/>
    <x v="0"/>
    <x v="4"/>
    <n v="68.096227799761493"/>
    <n v="785.12658444582905"/>
    <n v="53464.158746071851"/>
  </r>
  <r>
    <x v="438"/>
    <x v="1"/>
    <x v="0"/>
    <x v="0"/>
    <n v="68.137366838562102"/>
    <n v="784.98010842632402"/>
    <n v="53486.477608818692"/>
  </r>
  <r>
    <x v="491"/>
    <x v="1"/>
    <x v="4"/>
    <x v="4"/>
    <n v="68.178505877362596"/>
    <n v="784.83363240681797"/>
    <n v="53508.784419800075"/>
  </r>
  <r>
    <x v="30"/>
    <x v="1"/>
    <x v="4"/>
    <x v="3"/>
    <n v="68.219644916163205"/>
    <n v="784.68715638731203"/>
    <n v="53531.079179016255"/>
  </r>
  <r>
    <x v="492"/>
    <x v="1"/>
    <x v="1"/>
    <x v="3"/>
    <n v="68.260783954963799"/>
    <n v="784.540680367807"/>
    <n v="53553.361886467181"/>
  </r>
  <r>
    <x v="493"/>
    <x v="1"/>
    <x v="3"/>
    <x v="0"/>
    <n v="68.301922993764293"/>
    <n v="784.39420434830095"/>
    <n v="53575.632542152664"/>
  </r>
  <r>
    <x v="494"/>
    <x v="1"/>
    <x v="3"/>
    <x v="1"/>
    <n v="68.343062032564902"/>
    <n v="784.24772832879501"/>
    <n v="53597.891146072943"/>
  </r>
  <r>
    <x v="495"/>
    <x v="1"/>
    <x v="2"/>
    <x v="3"/>
    <n v="68.384201771365497"/>
    <n v="784.10125230928998"/>
    <n v="53620.138247098854"/>
  </r>
  <r>
    <x v="1"/>
    <x v="1"/>
    <x v="1"/>
    <x v="1"/>
    <n v="68.425340110166005"/>
    <n v="783.95477628978404"/>
    <n v="53642.372198617573"/>
  </r>
  <r>
    <x v="496"/>
    <x v="1"/>
    <x v="5"/>
    <x v="3"/>
    <n v="68.466479148966599"/>
    <n v="783.80830027027901"/>
    <n v="53664.594647242011"/>
  </r>
  <r>
    <x v="193"/>
    <x v="1"/>
    <x v="0"/>
    <x v="2"/>
    <n v="68.507618187767207"/>
    <n v="783.66182425077295"/>
    <n v="53686.805044101078"/>
  </r>
  <r>
    <x v="497"/>
    <x v="1"/>
    <x v="0"/>
    <x v="3"/>
    <n v="68.548757226567702"/>
    <n v="783.51534823126701"/>
    <n v="53709.003389194775"/>
  </r>
  <r>
    <x v="498"/>
    <x v="1"/>
    <x v="4"/>
    <x v="4"/>
    <n v="68.589896265368296"/>
    <n v="783.36887221176198"/>
    <n v="53731.189682523305"/>
  </r>
  <r>
    <x v="499"/>
    <x v="1"/>
    <x v="0"/>
    <x v="3"/>
    <n v="68.631035304168904"/>
    <n v="783.22239619225604"/>
    <n v="53753.363924086487"/>
  </r>
  <r>
    <x v="500"/>
    <x v="1"/>
    <x v="5"/>
    <x v="2"/>
    <n v="68.672174342969399"/>
    <n v="783.07592017274999"/>
    <n v="53775.526113884276"/>
  </r>
  <r>
    <x v="501"/>
    <x v="1"/>
    <x v="4"/>
    <x v="1"/>
    <n v="68.713313381770007"/>
    <n v="782.92944415324496"/>
    <n v="53797.676251916921"/>
  </r>
  <r>
    <x v="502"/>
    <x v="1"/>
    <x v="4"/>
    <x v="2"/>
    <n v="68.754452420570601"/>
    <n v="782.78296813373902"/>
    <n v="53819.814338184195"/>
  </r>
  <r>
    <x v="503"/>
    <x v="5"/>
    <x v="3"/>
    <x v="3"/>
    <n v="76"/>
    <n v="820"/>
    <n v="62320"/>
  </r>
  <r>
    <x v="332"/>
    <x v="5"/>
    <x v="0"/>
    <x v="3"/>
    <n v="16"/>
    <n v="820"/>
    <n v="13120"/>
  </r>
  <r>
    <x v="45"/>
    <x v="5"/>
    <x v="2"/>
    <x v="2"/>
    <n v="5"/>
    <n v="800"/>
    <n v="4000"/>
  </r>
  <r>
    <x v="504"/>
    <x v="5"/>
    <x v="3"/>
    <x v="2"/>
    <n v="45"/>
    <n v="800"/>
    <n v="36000"/>
  </r>
  <r>
    <x v="505"/>
    <x v="5"/>
    <x v="3"/>
    <x v="3"/>
    <n v="6"/>
    <n v="820"/>
    <n v="4920"/>
  </r>
  <r>
    <x v="506"/>
    <x v="5"/>
    <x v="2"/>
    <x v="1"/>
    <n v="34"/>
    <n v="1200"/>
    <n v="40800"/>
  </r>
  <r>
    <x v="507"/>
    <x v="5"/>
    <x v="2"/>
    <x v="4"/>
    <n v="37"/>
    <n v="450"/>
    <n v="16650"/>
  </r>
  <r>
    <x v="508"/>
    <x v="5"/>
    <x v="3"/>
    <x v="1"/>
    <n v="14"/>
    <n v="1200"/>
    <n v="16800"/>
  </r>
  <r>
    <x v="509"/>
    <x v="5"/>
    <x v="2"/>
    <x v="3"/>
    <n v="2"/>
    <n v="950"/>
    <n v="1900"/>
  </r>
  <r>
    <x v="455"/>
    <x v="5"/>
    <x v="4"/>
    <x v="4"/>
    <n v="20"/>
    <n v="450"/>
    <n v="9000"/>
  </r>
  <r>
    <x v="510"/>
    <x v="5"/>
    <x v="0"/>
    <x v="3"/>
    <n v="9"/>
    <n v="950"/>
    <n v="8550"/>
  </r>
  <r>
    <x v="511"/>
    <x v="5"/>
    <x v="1"/>
    <x v="2"/>
    <n v="34"/>
    <n v="800"/>
    <n v="27200"/>
  </r>
  <r>
    <x v="512"/>
    <x v="5"/>
    <x v="3"/>
    <x v="3"/>
    <n v="8"/>
    <n v="820"/>
    <n v="6560"/>
  </r>
  <r>
    <x v="513"/>
    <x v="5"/>
    <x v="0"/>
    <x v="1"/>
    <n v="15"/>
    <n v="1200"/>
    <n v="18000"/>
  </r>
  <r>
    <x v="514"/>
    <x v="5"/>
    <x v="2"/>
    <x v="2"/>
    <n v="19"/>
    <n v="800"/>
    <n v="15200"/>
  </r>
  <r>
    <x v="515"/>
    <x v="5"/>
    <x v="0"/>
    <x v="3"/>
    <n v="18"/>
    <n v="820"/>
    <n v="14760"/>
  </r>
  <r>
    <x v="516"/>
    <x v="5"/>
    <x v="5"/>
    <x v="2"/>
    <n v="33"/>
    <n v="800"/>
    <n v="26400"/>
  </r>
  <r>
    <x v="517"/>
    <x v="5"/>
    <x v="5"/>
    <x v="3"/>
    <n v="60"/>
    <n v="950"/>
    <n v="57000"/>
  </r>
  <r>
    <x v="518"/>
    <x v="5"/>
    <x v="2"/>
    <x v="3"/>
    <n v="4"/>
    <n v="820"/>
    <n v="3280"/>
  </r>
  <r>
    <x v="519"/>
    <x v="5"/>
    <x v="5"/>
    <x v="3"/>
    <n v="75"/>
    <n v="950"/>
    <n v="71250"/>
  </r>
  <r>
    <x v="520"/>
    <x v="5"/>
    <x v="1"/>
    <x v="2"/>
    <n v="18"/>
    <n v="800"/>
    <n v="14400"/>
  </r>
  <r>
    <x v="396"/>
    <x v="5"/>
    <x v="0"/>
    <x v="1"/>
    <n v="138"/>
    <n v="1200"/>
    <n v="165600"/>
  </r>
  <r>
    <x v="78"/>
    <x v="5"/>
    <x v="0"/>
    <x v="1"/>
    <n v="8"/>
    <n v="1200"/>
    <n v="9600"/>
  </r>
  <r>
    <x v="521"/>
    <x v="5"/>
    <x v="4"/>
    <x v="1"/>
    <n v="102"/>
    <n v="1200"/>
    <n v="122400"/>
  </r>
  <r>
    <x v="522"/>
    <x v="5"/>
    <x v="3"/>
    <x v="4"/>
    <n v="17"/>
    <n v="450"/>
    <n v="7650"/>
  </r>
  <r>
    <x v="523"/>
    <x v="5"/>
    <x v="0"/>
    <x v="4"/>
    <n v="39"/>
    <n v="450"/>
    <n v="17550"/>
  </r>
  <r>
    <x v="524"/>
    <x v="5"/>
    <x v="3"/>
    <x v="2"/>
    <n v="97"/>
    <n v="800"/>
    <n v="77600"/>
  </r>
  <r>
    <x v="525"/>
    <x v="5"/>
    <x v="3"/>
    <x v="0"/>
    <n v="72"/>
    <n v="650"/>
    <n v="46800"/>
  </r>
  <r>
    <x v="526"/>
    <x v="5"/>
    <x v="1"/>
    <x v="0"/>
    <n v="12"/>
    <n v="650"/>
    <n v="7800"/>
  </r>
  <r>
    <x v="419"/>
    <x v="5"/>
    <x v="0"/>
    <x v="4"/>
    <n v="28"/>
    <n v="450"/>
    <n v="12600"/>
  </r>
  <r>
    <x v="527"/>
    <x v="5"/>
    <x v="3"/>
    <x v="1"/>
    <n v="26"/>
    <n v="1200"/>
    <n v="31200"/>
  </r>
  <r>
    <x v="528"/>
    <x v="5"/>
    <x v="5"/>
    <x v="1"/>
    <n v="126"/>
    <n v="1200"/>
    <n v="151200"/>
  </r>
  <r>
    <x v="55"/>
    <x v="5"/>
    <x v="4"/>
    <x v="2"/>
    <n v="67"/>
    <n v="800"/>
    <n v="53600"/>
  </r>
  <r>
    <x v="529"/>
    <x v="5"/>
    <x v="5"/>
    <x v="0"/>
    <n v="138"/>
    <n v="650"/>
    <n v="89700"/>
  </r>
  <r>
    <x v="530"/>
    <x v="5"/>
    <x v="5"/>
    <x v="3"/>
    <n v="115"/>
    <n v="820"/>
    <n v="94300"/>
  </r>
  <r>
    <x v="531"/>
    <x v="5"/>
    <x v="5"/>
    <x v="1"/>
    <n v="70"/>
    <n v="1200"/>
    <n v="84000"/>
  </r>
  <r>
    <x v="532"/>
    <x v="5"/>
    <x v="1"/>
    <x v="2"/>
    <n v="51"/>
    <n v="800"/>
    <n v="40800"/>
  </r>
  <r>
    <x v="533"/>
    <x v="5"/>
    <x v="2"/>
    <x v="0"/>
    <n v="18"/>
    <n v="650"/>
    <n v="11700"/>
  </r>
  <r>
    <x v="48"/>
    <x v="5"/>
    <x v="5"/>
    <x v="2"/>
    <n v="18"/>
    <n v="800"/>
    <n v="14400"/>
  </r>
  <r>
    <x v="534"/>
    <x v="5"/>
    <x v="5"/>
    <x v="2"/>
    <n v="171"/>
    <n v="800"/>
    <n v="136800"/>
  </r>
  <r>
    <x v="57"/>
    <x v="5"/>
    <x v="4"/>
    <x v="3"/>
    <n v="88"/>
    <n v="950"/>
    <n v="83600"/>
  </r>
  <r>
    <x v="535"/>
    <x v="5"/>
    <x v="1"/>
    <x v="4"/>
    <n v="98"/>
    <n v="450"/>
    <n v="44100"/>
  </r>
  <r>
    <x v="536"/>
    <x v="5"/>
    <x v="4"/>
    <x v="2"/>
    <n v="29"/>
    <n v="800"/>
    <n v="23200"/>
  </r>
  <r>
    <x v="56"/>
    <x v="5"/>
    <x v="5"/>
    <x v="1"/>
    <n v="67"/>
    <n v="1200"/>
    <n v="80400"/>
  </r>
  <r>
    <x v="537"/>
    <x v="5"/>
    <x v="5"/>
    <x v="2"/>
    <n v="63"/>
    <n v="800"/>
    <n v="50400"/>
  </r>
  <r>
    <x v="314"/>
    <x v="5"/>
    <x v="1"/>
    <x v="2"/>
    <n v="83"/>
    <n v="800"/>
    <n v="66400"/>
  </r>
  <r>
    <x v="538"/>
    <x v="5"/>
    <x v="4"/>
    <x v="3"/>
    <n v="51"/>
    <n v="820"/>
    <n v="41820"/>
  </r>
  <r>
    <x v="539"/>
    <x v="5"/>
    <x v="4"/>
    <x v="4"/>
    <n v="273"/>
    <n v="450"/>
    <n v="122850"/>
  </r>
  <r>
    <x v="540"/>
    <x v="5"/>
    <x v="2"/>
    <x v="1"/>
    <n v="23"/>
    <n v="1200"/>
    <n v="27600"/>
  </r>
  <r>
    <x v="541"/>
    <x v="5"/>
    <x v="2"/>
    <x v="0"/>
    <n v="31"/>
    <n v="650"/>
    <n v="20150"/>
  </r>
  <r>
    <x v="323"/>
    <x v="5"/>
    <x v="5"/>
    <x v="2"/>
    <n v="12"/>
    <n v="800"/>
    <n v="9600"/>
  </r>
  <r>
    <x v="542"/>
    <x v="5"/>
    <x v="1"/>
    <x v="3"/>
    <n v="11"/>
    <n v="820"/>
    <n v="9020"/>
  </r>
  <r>
    <x v="543"/>
    <x v="5"/>
    <x v="5"/>
    <x v="3"/>
    <n v="39"/>
    <n v="820"/>
    <n v="31980"/>
  </r>
  <r>
    <x v="544"/>
    <x v="5"/>
    <x v="5"/>
    <x v="4"/>
    <n v="74"/>
    <n v="450"/>
    <n v="33300"/>
  </r>
  <r>
    <x v="545"/>
    <x v="5"/>
    <x v="0"/>
    <x v="3"/>
    <n v="109"/>
    <n v="820"/>
    <n v="89380"/>
  </r>
  <r>
    <x v="546"/>
    <x v="5"/>
    <x v="2"/>
    <x v="1"/>
    <n v="24"/>
    <n v="1200"/>
    <n v="28800"/>
  </r>
  <r>
    <x v="421"/>
    <x v="5"/>
    <x v="4"/>
    <x v="2"/>
    <n v="66"/>
    <n v="800"/>
    <n v="52800"/>
  </r>
  <r>
    <x v="547"/>
    <x v="5"/>
    <x v="0"/>
    <x v="3"/>
    <n v="36"/>
    <n v="820"/>
    <n v="29520"/>
  </r>
  <r>
    <x v="548"/>
    <x v="5"/>
    <x v="4"/>
    <x v="0"/>
    <n v="33"/>
    <n v="650"/>
    <n v="21450"/>
  </r>
  <r>
    <x v="549"/>
    <x v="5"/>
    <x v="1"/>
    <x v="3"/>
    <n v="3"/>
    <n v="820"/>
    <n v="2460"/>
  </r>
  <r>
    <x v="337"/>
    <x v="5"/>
    <x v="4"/>
    <x v="2"/>
    <n v="140"/>
    <n v="800"/>
    <n v="112000"/>
  </r>
  <r>
    <x v="550"/>
    <x v="5"/>
    <x v="1"/>
    <x v="1"/>
    <n v="1"/>
    <n v="1200"/>
    <n v="1200"/>
  </r>
  <r>
    <x v="551"/>
    <x v="5"/>
    <x v="3"/>
    <x v="3"/>
    <n v="13"/>
    <n v="820"/>
    <n v="10660"/>
  </r>
  <r>
    <x v="552"/>
    <x v="5"/>
    <x v="4"/>
    <x v="4"/>
    <n v="130"/>
    <n v="450"/>
    <n v="58500"/>
  </r>
  <r>
    <x v="553"/>
    <x v="5"/>
    <x v="0"/>
    <x v="3"/>
    <n v="76"/>
    <n v="820"/>
    <n v="62320"/>
  </r>
  <r>
    <x v="554"/>
    <x v="5"/>
    <x v="0"/>
    <x v="3"/>
    <n v="15"/>
    <n v="820"/>
    <n v="12300"/>
  </r>
  <r>
    <x v="440"/>
    <x v="5"/>
    <x v="3"/>
    <x v="3"/>
    <n v="40"/>
    <n v="950"/>
    <n v="38000"/>
  </r>
  <r>
    <x v="555"/>
    <x v="5"/>
    <x v="3"/>
    <x v="3"/>
    <n v="48"/>
    <n v="820"/>
    <n v="39360"/>
  </r>
  <r>
    <x v="556"/>
    <x v="5"/>
    <x v="4"/>
    <x v="3"/>
    <n v="295"/>
    <n v="820"/>
    <n v="241900"/>
  </r>
  <r>
    <x v="557"/>
    <x v="5"/>
    <x v="1"/>
    <x v="1"/>
    <n v="86"/>
    <n v="1200"/>
    <n v="103200"/>
  </r>
  <r>
    <x v="502"/>
    <x v="5"/>
    <x v="2"/>
    <x v="3"/>
    <n v="1"/>
    <n v="820"/>
    <n v="820"/>
  </r>
  <r>
    <x v="558"/>
    <x v="6"/>
    <x v="4"/>
    <x v="3"/>
    <n v="24"/>
    <n v="950"/>
    <n v="22800"/>
  </r>
  <r>
    <x v="559"/>
    <x v="6"/>
    <x v="2"/>
    <x v="4"/>
    <n v="18"/>
    <n v="450"/>
    <n v="8100"/>
  </r>
  <r>
    <x v="423"/>
    <x v="6"/>
    <x v="2"/>
    <x v="2"/>
    <n v="19"/>
    <n v="800"/>
    <n v="15200"/>
  </r>
  <r>
    <x v="560"/>
    <x v="6"/>
    <x v="3"/>
    <x v="3"/>
    <n v="27"/>
    <n v="820"/>
    <n v="22140"/>
  </r>
  <r>
    <x v="561"/>
    <x v="6"/>
    <x v="0"/>
    <x v="0"/>
    <n v="3"/>
    <n v="650"/>
    <n v="1950"/>
  </r>
  <r>
    <x v="166"/>
    <x v="6"/>
    <x v="4"/>
    <x v="3"/>
    <n v="20"/>
    <n v="820"/>
    <n v="16400"/>
  </r>
  <r>
    <x v="562"/>
    <x v="6"/>
    <x v="3"/>
    <x v="2"/>
    <n v="154"/>
    <n v="800"/>
    <n v="123200"/>
  </r>
  <r>
    <x v="563"/>
    <x v="6"/>
    <x v="5"/>
    <x v="2"/>
    <n v="4"/>
    <n v="800"/>
    <n v="3200"/>
  </r>
  <r>
    <x v="564"/>
    <x v="6"/>
    <x v="2"/>
    <x v="2"/>
    <n v="5"/>
    <n v="800"/>
    <n v="4000"/>
  </r>
  <r>
    <x v="546"/>
    <x v="6"/>
    <x v="1"/>
    <x v="4"/>
    <n v="92"/>
    <n v="450"/>
    <n v="41400"/>
  </r>
  <r>
    <x v="565"/>
    <x v="6"/>
    <x v="1"/>
    <x v="0"/>
    <n v="3"/>
    <n v="650"/>
    <n v="1950"/>
  </r>
  <r>
    <x v="566"/>
    <x v="6"/>
    <x v="3"/>
    <x v="1"/>
    <n v="13"/>
    <n v="1200"/>
    <n v="15600"/>
  </r>
  <r>
    <x v="567"/>
    <x v="6"/>
    <x v="4"/>
    <x v="3"/>
    <n v="236"/>
    <n v="950"/>
    <n v="224200"/>
  </r>
  <r>
    <x v="71"/>
    <x v="6"/>
    <x v="2"/>
    <x v="2"/>
    <n v="6"/>
    <n v="800"/>
    <n v="4800"/>
  </r>
  <r>
    <x v="568"/>
    <x v="6"/>
    <x v="5"/>
    <x v="3"/>
    <n v="6"/>
    <n v="950"/>
    <n v="5700"/>
  </r>
  <r>
    <x v="569"/>
    <x v="6"/>
    <x v="2"/>
    <x v="0"/>
    <n v="18"/>
    <n v="650"/>
    <n v="11700"/>
  </r>
  <r>
    <x v="570"/>
    <x v="6"/>
    <x v="1"/>
    <x v="3"/>
    <n v="56"/>
    <n v="950"/>
    <n v="53200"/>
  </r>
  <r>
    <x v="571"/>
    <x v="6"/>
    <x v="2"/>
    <x v="4"/>
    <n v="1"/>
    <n v="450"/>
    <n v="450"/>
  </r>
  <r>
    <x v="572"/>
    <x v="6"/>
    <x v="1"/>
    <x v="4"/>
    <n v="11"/>
    <n v="450"/>
    <n v="4950"/>
  </r>
  <r>
    <x v="573"/>
    <x v="6"/>
    <x v="2"/>
    <x v="4"/>
    <n v="1"/>
    <n v="450"/>
    <n v="450"/>
  </r>
  <r>
    <x v="574"/>
    <x v="6"/>
    <x v="4"/>
    <x v="2"/>
    <n v="139"/>
    <n v="800"/>
    <n v="111200"/>
  </r>
  <r>
    <x v="575"/>
    <x v="6"/>
    <x v="0"/>
    <x v="1"/>
    <n v="81"/>
    <n v="1200"/>
    <n v="97200"/>
  </r>
  <r>
    <x v="576"/>
    <x v="6"/>
    <x v="1"/>
    <x v="3"/>
    <n v="2"/>
    <n v="950"/>
    <n v="1900"/>
  </r>
  <r>
    <x v="577"/>
    <x v="6"/>
    <x v="3"/>
    <x v="2"/>
    <n v="32"/>
    <n v="800"/>
    <n v="25600"/>
  </r>
  <r>
    <x v="261"/>
    <x v="6"/>
    <x v="3"/>
    <x v="1"/>
    <n v="166"/>
    <n v="1200"/>
    <n v="199200"/>
  </r>
  <r>
    <x v="578"/>
    <x v="6"/>
    <x v="1"/>
    <x v="3"/>
    <n v="5"/>
    <n v="820"/>
    <n v="4100"/>
  </r>
  <r>
    <x v="579"/>
    <x v="6"/>
    <x v="3"/>
    <x v="3"/>
    <n v="65"/>
    <n v="820"/>
    <n v="53300"/>
  </r>
  <r>
    <x v="240"/>
    <x v="6"/>
    <x v="0"/>
    <x v="2"/>
    <n v="40"/>
    <n v="800"/>
    <n v="32000"/>
  </r>
  <r>
    <x v="580"/>
    <x v="6"/>
    <x v="2"/>
    <x v="3"/>
    <n v="14"/>
    <n v="820"/>
    <n v="11480"/>
  </r>
  <r>
    <x v="18"/>
    <x v="6"/>
    <x v="0"/>
    <x v="2"/>
    <n v="67"/>
    <n v="800"/>
    <n v="53600"/>
  </r>
  <r>
    <x v="581"/>
    <x v="6"/>
    <x v="2"/>
    <x v="3"/>
    <n v="25"/>
    <n v="820"/>
    <n v="20500"/>
  </r>
  <r>
    <x v="582"/>
    <x v="6"/>
    <x v="1"/>
    <x v="1"/>
    <n v="5"/>
    <n v="1200"/>
    <n v="6000"/>
  </r>
  <r>
    <x v="583"/>
    <x v="6"/>
    <x v="5"/>
    <x v="3"/>
    <n v="132"/>
    <n v="950"/>
    <n v="125400"/>
  </r>
  <r>
    <x v="584"/>
    <x v="6"/>
    <x v="2"/>
    <x v="0"/>
    <n v="5"/>
    <n v="650"/>
    <n v="3250"/>
  </r>
  <r>
    <x v="585"/>
    <x v="6"/>
    <x v="4"/>
    <x v="3"/>
    <n v="31"/>
    <n v="820"/>
    <n v="25420"/>
  </r>
  <r>
    <x v="586"/>
    <x v="6"/>
    <x v="2"/>
    <x v="2"/>
    <n v="4"/>
    <n v="800"/>
    <n v="3200"/>
  </r>
  <r>
    <x v="587"/>
    <x v="6"/>
    <x v="3"/>
    <x v="4"/>
    <n v="128"/>
    <n v="450"/>
    <n v="57600"/>
  </r>
  <r>
    <x v="317"/>
    <x v="6"/>
    <x v="0"/>
    <x v="3"/>
    <n v="33"/>
    <n v="950"/>
    <n v="31350"/>
  </r>
  <r>
    <x v="264"/>
    <x v="6"/>
    <x v="3"/>
    <x v="1"/>
    <n v="4"/>
    <n v="1200"/>
    <n v="4800"/>
  </r>
  <r>
    <x v="588"/>
    <x v="6"/>
    <x v="5"/>
    <x v="0"/>
    <n v="145"/>
    <n v="650"/>
    <n v="94250"/>
  </r>
  <r>
    <x v="589"/>
    <x v="6"/>
    <x v="3"/>
    <x v="1"/>
    <n v="73"/>
    <n v="1200"/>
    <n v="87600"/>
  </r>
  <r>
    <x v="590"/>
    <x v="6"/>
    <x v="5"/>
    <x v="2"/>
    <n v="6"/>
    <n v="800"/>
    <n v="4800"/>
  </r>
  <r>
    <x v="591"/>
    <x v="6"/>
    <x v="1"/>
    <x v="1"/>
    <n v="48"/>
    <n v="1200"/>
    <n v="57600"/>
  </r>
  <r>
    <x v="388"/>
    <x v="6"/>
    <x v="2"/>
    <x v="3"/>
    <n v="1"/>
    <n v="820"/>
    <n v="820"/>
  </r>
  <r>
    <x v="592"/>
    <x v="6"/>
    <x v="4"/>
    <x v="2"/>
    <n v="45"/>
    <n v="800"/>
    <n v="36000"/>
  </r>
  <r>
    <x v="593"/>
    <x v="6"/>
    <x v="2"/>
    <x v="3"/>
    <n v="13"/>
    <n v="820"/>
    <n v="10660"/>
  </r>
  <r>
    <x v="293"/>
    <x v="6"/>
    <x v="2"/>
    <x v="3"/>
    <n v="37"/>
    <n v="950"/>
    <n v="35150"/>
  </r>
  <r>
    <x v="594"/>
    <x v="6"/>
    <x v="2"/>
    <x v="4"/>
    <n v="39"/>
    <n v="450"/>
    <n v="17550"/>
  </r>
  <r>
    <x v="189"/>
    <x v="6"/>
    <x v="3"/>
    <x v="2"/>
    <n v="51"/>
    <n v="800"/>
    <n v="40800"/>
  </r>
  <r>
    <x v="595"/>
    <x v="6"/>
    <x v="1"/>
    <x v="3"/>
    <n v="13"/>
    <n v="820"/>
    <n v="10660"/>
  </r>
  <r>
    <x v="596"/>
    <x v="6"/>
    <x v="1"/>
    <x v="2"/>
    <n v="17"/>
    <n v="800"/>
    <n v="13600"/>
  </r>
  <r>
    <x v="597"/>
    <x v="6"/>
    <x v="5"/>
    <x v="2"/>
    <n v="20"/>
    <n v="800"/>
    <n v="16000"/>
  </r>
  <r>
    <x v="598"/>
    <x v="6"/>
    <x v="4"/>
    <x v="3"/>
    <n v="23"/>
    <n v="820"/>
    <n v="18860"/>
  </r>
  <r>
    <x v="599"/>
    <x v="6"/>
    <x v="3"/>
    <x v="2"/>
    <n v="54"/>
    <n v="800"/>
    <n v="43200"/>
  </r>
  <r>
    <x v="38"/>
    <x v="6"/>
    <x v="4"/>
    <x v="3"/>
    <n v="4"/>
    <n v="950"/>
    <n v="3800"/>
  </r>
  <r>
    <x v="600"/>
    <x v="6"/>
    <x v="0"/>
    <x v="3"/>
    <n v="3"/>
    <n v="820"/>
    <n v="2460"/>
  </r>
  <r>
    <x v="601"/>
    <x v="6"/>
    <x v="4"/>
    <x v="2"/>
    <n v="197"/>
    <n v="800"/>
    <n v="157600"/>
  </r>
  <r>
    <x v="602"/>
    <x v="6"/>
    <x v="5"/>
    <x v="3"/>
    <n v="18"/>
    <n v="950"/>
    <n v="17100"/>
  </r>
  <r>
    <x v="76"/>
    <x v="6"/>
    <x v="5"/>
    <x v="2"/>
    <n v="12"/>
    <n v="800"/>
    <n v="9600"/>
  </r>
  <r>
    <x v="603"/>
    <x v="6"/>
    <x v="2"/>
    <x v="2"/>
    <n v="17"/>
    <n v="800"/>
    <n v="13600"/>
  </r>
  <r>
    <x v="148"/>
    <x v="6"/>
    <x v="5"/>
    <x v="1"/>
    <n v="53"/>
    <n v="1200"/>
    <n v="63600"/>
  </r>
  <r>
    <x v="576"/>
    <x v="6"/>
    <x v="1"/>
    <x v="3"/>
    <n v="1"/>
    <n v="820"/>
    <n v="820"/>
  </r>
  <r>
    <x v="604"/>
    <x v="6"/>
    <x v="1"/>
    <x v="4"/>
    <n v="9"/>
    <n v="450"/>
    <n v="4050"/>
  </r>
  <r>
    <x v="577"/>
    <x v="6"/>
    <x v="5"/>
    <x v="0"/>
    <n v="249"/>
    <n v="650"/>
    <n v="161850"/>
  </r>
  <r>
    <x v="605"/>
    <x v="6"/>
    <x v="3"/>
    <x v="2"/>
    <n v="31"/>
    <n v="800"/>
    <n v="24800"/>
  </r>
  <r>
    <x v="606"/>
    <x v="6"/>
    <x v="4"/>
    <x v="2"/>
    <n v="91"/>
    <n v="800"/>
    <n v="72800"/>
  </r>
  <r>
    <x v="93"/>
    <x v="6"/>
    <x v="3"/>
    <x v="4"/>
    <n v="12"/>
    <n v="450"/>
    <n v="5400"/>
  </r>
  <r>
    <x v="607"/>
    <x v="6"/>
    <x v="2"/>
    <x v="1"/>
    <n v="1"/>
    <n v="1200"/>
    <n v="1200"/>
  </r>
  <r>
    <x v="33"/>
    <x v="6"/>
    <x v="1"/>
    <x v="4"/>
    <n v="10"/>
    <n v="450"/>
    <n v="4500"/>
  </r>
  <r>
    <x v="608"/>
    <x v="6"/>
    <x v="4"/>
    <x v="0"/>
    <n v="36"/>
    <n v="650"/>
    <n v="23400"/>
  </r>
  <r>
    <x v="609"/>
    <x v="6"/>
    <x v="1"/>
    <x v="2"/>
    <n v="16"/>
    <n v="800"/>
    <n v="12800"/>
  </r>
  <r>
    <x v="305"/>
    <x v="6"/>
    <x v="5"/>
    <x v="3"/>
    <n v="24"/>
    <n v="820"/>
    <n v="19680"/>
  </r>
  <r>
    <x v="610"/>
    <x v="7"/>
    <x v="4"/>
    <x v="2"/>
    <n v="2"/>
    <n v="800"/>
    <n v="1600"/>
  </r>
  <r>
    <x v="249"/>
    <x v="7"/>
    <x v="4"/>
    <x v="3"/>
    <n v="172"/>
    <n v="950"/>
    <n v="163400"/>
  </r>
  <r>
    <x v="352"/>
    <x v="7"/>
    <x v="3"/>
    <x v="3"/>
    <n v="21"/>
    <n v="820"/>
    <n v="17220"/>
  </r>
  <r>
    <x v="611"/>
    <x v="7"/>
    <x v="3"/>
    <x v="0"/>
    <n v="50"/>
    <n v="650"/>
    <n v="32500"/>
  </r>
  <r>
    <x v="612"/>
    <x v="7"/>
    <x v="4"/>
    <x v="2"/>
    <n v="43"/>
    <n v="800"/>
    <n v="34400"/>
  </r>
  <r>
    <x v="83"/>
    <x v="7"/>
    <x v="1"/>
    <x v="0"/>
    <n v="42"/>
    <n v="650"/>
    <n v="27300"/>
  </r>
  <r>
    <x v="586"/>
    <x v="7"/>
    <x v="1"/>
    <x v="4"/>
    <n v="1"/>
    <n v="450"/>
    <n v="450"/>
  </r>
  <r>
    <x v="613"/>
    <x v="7"/>
    <x v="2"/>
    <x v="4"/>
    <n v="6"/>
    <n v="450"/>
    <n v="2700"/>
  </r>
  <r>
    <x v="420"/>
    <x v="7"/>
    <x v="3"/>
    <x v="1"/>
    <n v="10"/>
    <n v="1200"/>
    <n v="12000"/>
  </r>
  <r>
    <x v="614"/>
    <x v="7"/>
    <x v="2"/>
    <x v="2"/>
    <n v="21"/>
    <n v="800"/>
    <n v="16800"/>
  </r>
  <r>
    <x v="615"/>
    <x v="7"/>
    <x v="2"/>
    <x v="1"/>
    <n v="18"/>
    <n v="1200"/>
    <n v="21600"/>
  </r>
  <r>
    <x v="616"/>
    <x v="7"/>
    <x v="1"/>
    <x v="0"/>
    <n v="31"/>
    <n v="650"/>
    <n v="20150"/>
  </r>
  <r>
    <x v="617"/>
    <x v="7"/>
    <x v="1"/>
    <x v="3"/>
    <n v="42"/>
    <n v="820"/>
    <n v="34440"/>
  </r>
  <r>
    <x v="34"/>
    <x v="7"/>
    <x v="2"/>
    <x v="1"/>
    <n v="16"/>
    <n v="1200"/>
    <n v="19200"/>
  </r>
  <r>
    <x v="618"/>
    <x v="7"/>
    <x v="4"/>
    <x v="3"/>
    <n v="173"/>
    <n v="950"/>
    <n v="164350"/>
  </r>
  <r>
    <x v="619"/>
    <x v="7"/>
    <x v="3"/>
    <x v="1"/>
    <n v="185"/>
    <n v="1200"/>
    <n v="222000"/>
  </r>
  <r>
    <x v="84"/>
    <x v="7"/>
    <x v="0"/>
    <x v="1"/>
    <n v="89"/>
    <n v="1200"/>
    <n v="106800"/>
  </r>
  <r>
    <x v="123"/>
    <x v="7"/>
    <x v="2"/>
    <x v="4"/>
    <n v="10"/>
    <n v="450"/>
    <n v="4500"/>
  </r>
  <r>
    <x v="620"/>
    <x v="7"/>
    <x v="5"/>
    <x v="2"/>
    <n v="20"/>
    <n v="800"/>
    <n v="16000"/>
  </r>
  <r>
    <x v="280"/>
    <x v="7"/>
    <x v="4"/>
    <x v="3"/>
    <n v="17"/>
    <n v="820"/>
    <n v="13940"/>
  </r>
  <r>
    <x v="621"/>
    <x v="7"/>
    <x v="0"/>
    <x v="4"/>
    <n v="71"/>
    <n v="450"/>
    <n v="31950"/>
  </r>
  <r>
    <x v="622"/>
    <x v="7"/>
    <x v="0"/>
    <x v="2"/>
    <n v="81"/>
    <n v="800"/>
    <n v="64800"/>
  </r>
  <r>
    <x v="623"/>
    <x v="7"/>
    <x v="0"/>
    <x v="0"/>
    <n v="43"/>
    <n v="650"/>
    <n v="27950"/>
  </r>
  <r>
    <x v="200"/>
    <x v="7"/>
    <x v="3"/>
    <x v="3"/>
    <n v="107"/>
    <n v="950"/>
    <n v="101650"/>
  </r>
  <r>
    <x v="211"/>
    <x v="7"/>
    <x v="2"/>
    <x v="4"/>
    <n v="4"/>
    <n v="450"/>
    <n v="1800"/>
  </r>
  <r>
    <x v="624"/>
    <x v="7"/>
    <x v="2"/>
    <x v="2"/>
    <n v="23"/>
    <n v="800"/>
    <n v="18400"/>
  </r>
  <r>
    <x v="311"/>
    <x v="7"/>
    <x v="4"/>
    <x v="4"/>
    <n v="32"/>
    <n v="450"/>
    <n v="14400"/>
  </r>
  <r>
    <x v="625"/>
    <x v="7"/>
    <x v="2"/>
    <x v="2"/>
    <n v="49"/>
    <n v="800"/>
    <n v="39200"/>
  </r>
  <r>
    <x v="41"/>
    <x v="7"/>
    <x v="1"/>
    <x v="2"/>
    <n v="9"/>
    <n v="800"/>
    <n v="7200"/>
  </r>
  <r>
    <x v="13"/>
    <x v="7"/>
    <x v="1"/>
    <x v="0"/>
    <n v="3"/>
    <n v="650"/>
    <n v="1950"/>
  </r>
  <r>
    <x v="626"/>
    <x v="7"/>
    <x v="3"/>
    <x v="4"/>
    <n v="116"/>
    <n v="450"/>
    <n v="52200"/>
  </r>
  <r>
    <x v="627"/>
    <x v="7"/>
    <x v="1"/>
    <x v="2"/>
    <n v="26"/>
    <n v="800"/>
    <n v="20800"/>
  </r>
  <r>
    <x v="137"/>
    <x v="7"/>
    <x v="4"/>
    <x v="3"/>
    <n v="59"/>
    <n v="950"/>
    <n v="56050"/>
  </r>
  <r>
    <x v="628"/>
    <x v="7"/>
    <x v="1"/>
    <x v="3"/>
    <n v="96"/>
    <n v="820"/>
    <n v="78720"/>
  </r>
  <r>
    <x v="629"/>
    <x v="7"/>
    <x v="3"/>
    <x v="4"/>
    <n v="178"/>
    <n v="450"/>
    <n v="80100"/>
  </r>
  <r>
    <x v="372"/>
    <x v="7"/>
    <x v="3"/>
    <x v="2"/>
    <n v="8"/>
    <n v="800"/>
    <n v="6400"/>
  </r>
  <r>
    <x v="630"/>
    <x v="7"/>
    <x v="2"/>
    <x v="3"/>
    <n v="6"/>
    <n v="820"/>
    <n v="4920"/>
  </r>
  <r>
    <x v="138"/>
    <x v="7"/>
    <x v="0"/>
    <x v="3"/>
    <n v="16"/>
    <n v="820"/>
    <n v="13120"/>
  </r>
  <r>
    <x v="631"/>
    <x v="7"/>
    <x v="1"/>
    <x v="4"/>
    <n v="66"/>
    <n v="450"/>
    <n v="29700"/>
  </r>
  <r>
    <x v="550"/>
    <x v="7"/>
    <x v="5"/>
    <x v="2"/>
    <n v="46"/>
    <n v="800"/>
    <n v="36800"/>
  </r>
  <r>
    <x v="632"/>
    <x v="7"/>
    <x v="0"/>
    <x v="2"/>
    <n v="98"/>
    <n v="800"/>
    <n v="78400"/>
  </r>
  <r>
    <x v="309"/>
    <x v="7"/>
    <x v="0"/>
    <x v="3"/>
    <n v="17"/>
    <n v="950"/>
    <n v="16150"/>
  </r>
  <r>
    <x v="633"/>
    <x v="7"/>
    <x v="3"/>
    <x v="1"/>
    <n v="41"/>
    <n v="1200"/>
    <n v="49200"/>
  </r>
  <r>
    <x v="634"/>
    <x v="7"/>
    <x v="5"/>
    <x v="1"/>
    <n v="230"/>
    <n v="1200"/>
    <n v="276000"/>
  </r>
  <r>
    <x v="635"/>
    <x v="7"/>
    <x v="1"/>
    <x v="3"/>
    <n v="13"/>
    <n v="820"/>
    <n v="10660"/>
  </r>
  <r>
    <x v="364"/>
    <x v="7"/>
    <x v="2"/>
    <x v="3"/>
    <n v="18"/>
    <n v="950"/>
    <n v="17100"/>
  </r>
  <r>
    <x v="636"/>
    <x v="7"/>
    <x v="2"/>
    <x v="4"/>
    <n v="29"/>
    <n v="450"/>
    <n v="13050"/>
  </r>
  <r>
    <x v="12"/>
    <x v="7"/>
    <x v="4"/>
    <x v="2"/>
    <n v="9"/>
    <n v="800"/>
    <n v="7200"/>
  </r>
  <r>
    <x v="637"/>
    <x v="7"/>
    <x v="4"/>
    <x v="3"/>
    <n v="270"/>
    <n v="820"/>
    <n v="221400"/>
  </r>
  <r>
    <x v="638"/>
    <x v="7"/>
    <x v="0"/>
    <x v="2"/>
    <n v="45"/>
    <n v="800"/>
    <n v="36000"/>
  </r>
  <r>
    <x v="397"/>
    <x v="7"/>
    <x v="2"/>
    <x v="2"/>
    <n v="8"/>
    <n v="800"/>
    <n v="6400"/>
  </r>
  <r>
    <x v="639"/>
    <x v="7"/>
    <x v="4"/>
    <x v="3"/>
    <n v="5"/>
    <n v="820"/>
    <n v="4100"/>
  </r>
  <r>
    <x v="640"/>
    <x v="7"/>
    <x v="5"/>
    <x v="4"/>
    <n v="97"/>
    <n v="450"/>
    <n v="43650"/>
  </r>
  <r>
    <x v="381"/>
    <x v="7"/>
    <x v="5"/>
    <x v="3"/>
    <n v="31"/>
    <n v="950"/>
    <n v="29450"/>
  </r>
  <r>
    <x v="641"/>
    <x v="7"/>
    <x v="4"/>
    <x v="2"/>
    <n v="68"/>
    <n v="800"/>
    <n v="54400"/>
  </r>
  <r>
    <x v="484"/>
    <x v="7"/>
    <x v="0"/>
    <x v="2"/>
    <n v="74"/>
    <n v="800"/>
    <n v="59200"/>
  </r>
  <r>
    <x v="606"/>
    <x v="8"/>
    <x v="1"/>
    <x v="2"/>
    <n v="39"/>
    <n v="800"/>
    <n v="31200"/>
  </r>
  <r>
    <x v="642"/>
    <x v="8"/>
    <x v="2"/>
    <x v="3"/>
    <n v="24"/>
    <n v="950"/>
    <n v="22800"/>
  </r>
  <r>
    <x v="292"/>
    <x v="8"/>
    <x v="2"/>
    <x v="2"/>
    <n v="4"/>
    <n v="800"/>
    <n v="3200"/>
  </r>
  <r>
    <x v="643"/>
    <x v="8"/>
    <x v="5"/>
    <x v="3"/>
    <n v="159"/>
    <n v="950"/>
    <n v="151050"/>
  </r>
  <r>
    <x v="644"/>
    <x v="8"/>
    <x v="5"/>
    <x v="2"/>
    <n v="81"/>
    <n v="800"/>
    <n v="64800"/>
  </r>
  <r>
    <x v="645"/>
    <x v="8"/>
    <x v="3"/>
    <x v="4"/>
    <n v="52"/>
    <n v="450"/>
    <n v="23400"/>
  </r>
  <r>
    <x v="19"/>
    <x v="8"/>
    <x v="5"/>
    <x v="1"/>
    <n v="104"/>
    <n v="1200"/>
    <n v="124800"/>
  </r>
  <r>
    <x v="429"/>
    <x v="8"/>
    <x v="1"/>
    <x v="3"/>
    <n v="15"/>
    <n v="950"/>
    <n v="14250"/>
  </r>
  <r>
    <x v="646"/>
    <x v="8"/>
    <x v="2"/>
    <x v="3"/>
    <n v="4"/>
    <n v="820"/>
    <n v="3280"/>
  </r>
  <r>
    <x v="180"/>
    <x v="8"/>
    <x v="1"/>
    <x v="3"/>
    <n v="9"/>
    <n v="950"/>
    <n v="8550"/>
  </r>
  <r>
    <x v="191"/>
    <x v="8"/>
    <x v="4"/>
    <x v="3"/>
    <n v="49"/>
    <n v="820"/>
    <n v="40180"/>
  </r>
  <r>
    <x v="171"/>
    <x v="8"/>
    <x v="4"/>
    <x v="3"/>
    <n v="86"/>
    <n v="820"/>
    <n v="70520"/>
  </r>
  <r>
    <x v="647"/>
    <x v="8"/>
    <x v="2"/>
    <x v="4"/>
    <n v="1"/>
    <n v="450"/>
    <n v="450"/>
  </r>
  <r>
    <x v="78"/>
    <x v="8"/>
    <x v="1"/>
    <x v="2"/>
    <n v="49"/>
    <n v="800"/>
    <n v="39200"/>
  </r>
  <r>
    <x v="648"/>
    <x v="8"/>
    <x v="0"/>
    <x v="3"/>
    <n v="18"/>
    <n v="950"/>
    <n v="17100"/>
  </r>
  <r>
    <x v="571"/>
    <x v="8"/>
    <x v="3"/>
    <x v="3"/>
    <n v="9"/>
    <n v="950"/>
    <n v="8550"/>
  </r>
  <r>
    <x v="649"/>
    <x v="8"/>
    <x v="0"/>
    <x v="3"/>
    <n v="45"/>
    <n v="820"/>
    <n v="36900"/>
  </r>
  <r>
    <x v="650"/>
    <x v="8"/>
    <x v="3"/>
    <x v="2"/>
    <n v="141"/>
    <n v="800"/>
    <n v="112800"/>
  </r>
  <r>
    <x v="651"/>
    <x v="8"/>
    <x v="0"/>
    <x v="3"/>
    <n v="46"/>
    <n v="820"/>
    <n v="37720"/>
  </r>
  <r>
    <x v="652"/>
    <x v="8"/>
    <x v="5"/>
    <x v="0"/>
    <n v="94"/>
    <n v="650"/>
    <n v="61100"/>
  </r>
  <r>
    <x v="653"/>
    <x v="8"/>
    <x v="5"/>
    <x v="4"/>
    <n v="29"/>
    <n v="450"/>
    <n v="13050"/>
  </r>
  <r>
    <x v="654"/>
    <x v="8"/>
    <x v="4"/>
    <x v="2"/>
    <n v="1"/>
    <n v="800"/>
    <n v="800"/>
  </r>
  <r>
    <x v="655"/>
    <x v="8"/>
    <x v="5"/>
    <x v="1"/>
    <n v="117"/>
    <n v="1200"/>
    <n v="140400"/>
  </r>
  <r>
    <x v="656"/>
    <x v="8"/>
    <x v="4"/>
    <x v="1"/>
    <n v="58"/>
    <n v="1200"/>
    <n v="69600"/>
  </r>
  <r>
    <x v="657"/>
    <x v="8"/>
    <x v="2"/>
    <x v="3"/>
    <n v="9"/>
    <n v="820"/>
    <n v="7380"/>
  </r>
  <r>
    <x v="658"/>
    <x v="8"/>
    <x v="4"/>
    <x v="3"/>
    <n v="136"/>
    <n v="820"/>
    <n v="111520"/>
  </r>
  <r>
    <x v="68"/>
    <x v="8"/>
    <x v="1"/>
    <x v="2"/>
    <n v="8"/>
    <n v="800"/>
    <n v="6400"/>
  </r>
  <r>
    <x v="659"/>
    <x v="8"/>
    <x v="3"/>
    <x v="2"/>
    <n v="150"/>
    <n v="800"/>
    <n v="120000"/>
  </r>
  <r>
    <x v="585"/>
    <x v="8"/>
    <x v="1"/>
    <x v="0"/>
    <n v="11"/>
    <n v="650"/>
    <n v="7150"/>
  </r>
  <r>
    <x v="660"/>
    <x v="8"/>
    <x v="4"/>
    <x v="0"/>
    <n v="83"/>
    <n v="650"/>
    <n v="53950"/>
  </r>
  <r>
    <x v="105"/>
    <x v="8"/>
    <x v="2"/>
    <x v="4"/>
    <n v="16"/>
    <n v="450"/>
    <n v="7200"/>
  </r>
  <r>
    <x v="661"/>
    <x v="8"/>
    <x v="5"/>
    <x v="3"/>
    <n v="14"/>
    <n v="820"/>
    <n v="11480"/>
  </r>
  <r>
    <x v="662"/>
    <x v="8"/>
    <x v="2"/>
    <x v="1"/>
    <n v="3"/>
    <n v="1200"/>
    <n v="3600"/>
  </r>
  <r>
    <x v="663"/>
    <x v="8"/>
    <x v="5"/>
    <x v="4"/>
    <n v="165"/>
    <n v="450"/>
    <n v="74250"/>
  </r>
  <r>
    <x v="664"/>
    <x v="8"/>
    <x v="5"/>
    <x v="2"/>
    <n v="30"/>
    <n v="800"/>
    <n v="24000"/>
  </r>
  <r>
    <x v="310"/>
    <x v="8"/>
    <x v="5"/>
    <x v="0"/>
    <n v="226"/>
    <n v="650"/>
    <n v="146900"/>
  </r>
  <r>
    <x v="371"/>
    <x v="8"/>
    <x v="3"/>
    <x v="3"/>
    <n v="18"/>
    <n v="950"/>
    <n v="17100"/>
  </r>
  <r>
    <x v="190"/>
    <x v="8"/>
    <x v="3"/>
    <x v="1"/>
    <n v="45"/>
    <n v="1200"/>
    <n v="54000"/>
  </r>
  <r>
    <x v="665"/>
    <x v="8"/>
    <x v="1"/>
    <x v="3"/>
    <n v="27"/>
    <n v="950"/>
    <n v="25650"/>
  </r>
  <r>
    <x v="483"/>
    <x v="8"/>
    <x v="5"/>
    <x v="2"/>
    <n v="84"/>
    <n v="800"/>
    <n v="67200"/>
  </r>
  <r>
    <x v="458"/>
    <x v="8"/>
    <x v="0"/>
    <x v="0"/>
    <n v="54"/>
    <n v="650"/>
    <n v="35100"/>
  </r>
  <r>
    <x v="295"/>
    <x v="8"/>
    <x v="4"/>
    <x v="3"/>
    <n v="53"/>
    <n v="820"/>
    <n v="43460"/>
  </r>
  <r>
    <x v="666"/>
    <x v="8"/>
    <x v="2"/>
    <x v="3"/>
    <n v="16"/>
    <n v="950"/>
    <n v="15200"/>
  </r>
  <r>
    <x v="667"/>
    <x v="8"/>
    <x v="4"/>
    <x v="2"/>
    <n v="81"/>
    <n v="800"/>
    <n v="64800"/>
  </r>
  <r>
    <x v="441"/>
    <x v="8"/>
    <x v="5"/>
    <x v="3"/>
    <n v="73"/>
    <n v="950"/>
    <n v="69350"/>
  </r>
  <r>
    <x v="668"/>
    <x v="8"/>
    <x v="1"/>
    <x v="3"/>
    <n v="14"/>
    <n v="950"/>
    <n v="13300"/>
  </r>
  <r>
    <x v="651"/>
    <x v="8"/>
    <x v="0"/>
    <x v="2"/>
    <n v="9"/>
    <n v="800"/>
    <n v="7200"/>
  </r>
  <r>
    <x v="594"/>
    <x v="8"/>
    <x v="1"/>
    <x v="3"/>
    <n v="9"/>
    <n v="820"/>
    <n v="7380"/>
  </r>
  <r>
    <x v="669"/>
    <x v="8"/>
    <x v="1"/>
    <x v="0"/>
    <n v="5"/>
    <n v="650"/>
    <n v="3250"/>
  </r>
  <r>
    <x v="670"/>
    <x v="8"/>
    <x v="0"/>
    <x v="1"/>
    <n v="29"/>
    <n v="1200"/>
    <n v="34800"/>
  </r>
  <r>
    <x v="604"/>
    <x v="8"/>
    <x v="0"/>
    <x v="0"/>
    <n v="11"/>
    <n v="650"/>
    <n v="7150"/>
  </r>
  <r>
    <x v="671"/>
    <x v="8"/>
    <x v="5"/>
    <x v="2"/>
    <n v="91"/>
    <n v="800"/>
    <n v="72800"/>
  </r>
  <r>
    <x v="351"/>
    <x v="8"/>
    <x v="4"/>
    <x v="2"/>
    <n v="201"/>
    <n v="800"/>
    <n v="160800"/>
  </r>
  <r>
    <x v="672"/>
    <x v="8"/>
    <x v="3"/>
    <x v="3"/>
    <n v="56"/>
    <n v="950"/>
    <n v="53200"/>
  </r>
  <r>
    <x v="673"/>
    <x v="9"/>
    <x v="0"/>
    <x v="2"/>
    <n v="56"/>
    <n v="800"/>
    <n v="44800"/>
  </r>
  <r>
    <x v="674"/>
    <x v="9"/>
    <x v="0"/>
    <x v="3"/>
    <n v="147"/>
    <n v="950"/>
    <n v="139650"/>
  </r>
  <r>
    <x v="675"/>
    <x v="9"/>
    <x v="2"/>
    <x v="0"/>
    <n v="14"/>
    <n v="650"/>
    <n v="9100"/>
  </r>
  <r>
    <x v="459"/>
    <x v="9"/>
    <x v="5"/>
    <x v="0"/>
    <n v="88"/>
    <n v="650"/>
    <n v="57200"/>
  </r>
  <r>
    <x v="228"/>
    <x v="9"/>
    <x v="0"/>
    <x v="3"/>
    <n v="51"/>
    <n v="950"/>
    <n v="48450"/>
  </r>
  <r>
    <x v="676"/>
    <x v="9"/>
    <x v="5"/>
    <x v="1"/>
    <n v="166"/>
    <n v="1200"/>
    <n v="199200"/>
  </r>
  <r>
    <x v="677"/>
    <x v="9"/>
    <x v="4"/>
    <x v="3"/>
    <n v="26"/>
    <n v="820"/>
    <n v="21320"/>
  </r>
  <r>
    <x v="678"/>
    <x v="9"/>
    <x v="2"/>
    <x v="1"/>
    <n v="14"/>
    <n v="1200"/>
    <n v="16800"/>
  </r>
  <r>
    <x v="679"/>
    <x v="9"/>
    <x v="5"/>
    <x v="0"/>
    <n v="116"/>
    <n v="650"/>
    <n v="75400"/>
  </r>
  <r>
    <x v="680"/>
    <x v="9"/>
    <x v="0"/>
    <x v="0"/>
    <n v="7"/>
    <n v="650"/>
    <n v="4550"/>
  </r>
  <r>
    <x v="675"/>
    <x v="9"/>
    <x v="5"/>
    <x v="3"/>
    <n v="149"/>
    <n v="950"/>
    <n v="141550"/>
  </r>
  <r>
    <x v="24"/>
    <x v="9"/>
    <x v="3"/>
    <x v="1"/>
    <n v="60"/>
    <n v="1200"/>
    <n v="72000"/>
  </r>
  <r>
    <x v="681"/>
    <x v="9"/>
    <x v="0"/>
    <x v="3"/>
    <n v="46"/>
    <n v="950"/>
    <n v="43700"/>
  </r>
  <r>
    <x v="641"/>
    <x v="9"/>
    <x v="5"/>
    <x v="3"/>
    <n v="18"/>
    <n v="820"/>
    <n v="14760"/>
  </r>
  <r>
    <x v="682"/>
    <x v="9"/>
    <x v="2"/>
    <x v="0"/>
    <n v="5"/>
    <n v="650"/>
    <n v="3250"/>
  </r>
  <r>
    <x v="683"/>
    <x v="9"/>
    <x v="2"/>
    <x v="3"/>
    <n v="6"/>
    <n v="820"/>
    <n v="4920"/>
  </r>
  <r>
    <x v="684"/>
    <x v="9"/>
    <x v="0"/>
    <x v="0"/>
    <n v="89"/>
    <n v="650"/>
    <n v="57850"/>
  </r>
  <r>
    <x v="685"/>
    <x v="9"/>
    <x v="4"/>
    <x v="1"/>
    <n v="131"/>
    <n v="1200"/>
    <n v="157200"/>
  </r>
  <r>
    <x v="668"/>
    <x v="9"/>
    <x v="5"/>
    <x v="2"/>
    <n v="18"/>
    <n v="800"/>
    <n v="14400"/>
  </r>
  <r>
    <x v="686"/>
    <x v="9"/>
    <x v="4"/>
    <x v="4"/>
    <n v="17"/>
    <n v="450"/>
    <n v="7650"/>
  </r>
  <r>
    <x v="687"/>
    <x v="9"/>
    <x v="3"/>
    <x v="4"/>
    <n v="55"/>
    <n v="450"/>
    <n v="24750"/>
  </r>
  <r>
    <x v="688"/>
    <x v="9"/>
    <x v="5"/>
    <x v="0"/>
    <n v="8"/>
    <n v="650"/>
    <n v="5200"/>
  </r>
  <r>
    <x v="689"/>
    <x v="9"/>
    <x v="2"/>
    <x v="1"/>
    <n v="3"/>
    <n v="1200"/>
    <n v="3600"/>
  </r>
  <r>
    <x v="690"/>
    <x v="9"/>
    <x v="2"/>
    <x v="3"/>
    <n v="16"/>
    <n v="820"/>
    <n v="13120"/>
  </r>
  <r>
    <x v="691"/>
    <x v="9"/>
    <x v="4"/>
    <x v="1"/>
    <n v="172"/>
    <n v="1200"/>
    <n v="206400"/>
  </r>
  <r>
    <x v="525"/>
    <x v="9"/>
    <x v="0"/>
    <x v="2"/>
    <n v="118"/>
    <n v="800"/>
    <n v="94400"/>
  </r>
  <r>
    <x v="692"/>
    <x v="9"/>
    <x v="0"/>
    <x v="3"/>
    <n v="38"/>
    <n v="820"/>
    <n v="31160"/>
  </r>
  <r>
    <x v="308"/>
    <x v="9"/>
    <x v="4"/>
    <x v="0"/>
    <n v="19"/>
    <n v="650"/>
    <n v="12350"/>
  </r>
  <r>
    <x v="331"/>
    <x v="9"/>
    <x v="3"/>
    <x v="0"/>
    <n v="4"/>
    <n v="650"/>
    <n v="2600"/>
  </r>
  <r>
    <x v="693"/>
    <x v="9"/>
    <x v="1"/>
    <x v="1"/>
    <n v="3"/>
    <n v="1200"/>
    <n v="3600"/>
  </r>
  <r>
    <x v="694"/>
    <x v="9"/>
    <x v="3"/>
    <x v="0"/>
    <n v="18"/>
    <n v="650"/>
    <n v="11700"/>
  </r>
  <r>
    <x v="695"/>
    <x v="9"/>
    <x v="1"/>
    <x v="3"/>
    <n v="2"/>
    <n v="820"/>
    <n v="1640"/>
  </r>
  <r>
    <x v="6"/>
    <x v="9"/>
    <x v="5"/>
    <x v="3"/>
    <n v="27"/>
    <n v="950"/>
    <n v="25650"/>
  </r>
  <r>
    <x v="696"/>
    <x v="9"/>
    <x v="5"/>
    <x v="0"/>
    <n v="134"/>
    <n v="650"/>
    <n v="87100"/>
  </r>
  <r>
    <x v="686"/>
    <x v="9"/>
    <x v="4"/>
    <x v="4"/>
    <n v="59"/>
    <n v="450"/>
    <n v="26550"/>
  </r>
  <r>
    <x v="697"/>
    <x v="9"/>
    <x v="1"/>
    <x v="1"/>
    <n v="11"/>
    <n v="1200"/>
    <n v="13200"/>
  </r>
  <r>
    <x v="698"/>
    <x v="9"/>
    <x v="5"/>
    <x v="3"/>
    <n v="114"/>
    <n v="820"/>
    <n v="93480"/>
  </r>
  <r>
    <x v="699"/>
    <x v="9"/>
    <x v="0"/>
    <x v="2"/>
    <n v="30"/>
    <n v="800"/>
    <n v="24000"/>
  </r>
  <r>
    <x v="700"/>
    <x v="9"/>
    <x v="0"/>
    <x v="1"/>
    <n v="9"/>
    <n v="1200"/>
    <n v="10800"/>
  </r>
  <r>
    <x v="701"/>
    <x v="9"/>
    <x v="1"/>
    <x v="2"/>
    <n v="7"/>
    <n v="800"/>
    <n v="5600"/>
  </r>
  <r>
    <x v="167"/>
    <x v="9"/>
    <x v="4"/>
    <x v="0"/>
    <n v="175"/>
    <n v="650"/>
    <n v="113750"/>
  </r>
  <r>
    <x v="702"/>
    <x v="9"/>
    <x v="3"/>
    <x v="2"/>
    <n v="44"/>
    <n v="800"/>
    <n v="35200"/>
  </r>
  <r>
    <x v="703"/>
    <x v="9"/>
    <x v="2"/>
    <x v="1"/>
    <n v="1"/>
    <n v="1200"/>
    <n v="1200"/>
  </r>
  <r>
    <x v="380"/>
    <x v="9"/>
    <x v="4"/>
    <x v="2"/>
    <n v="86"/>
    <n v="800"/>
    <n v="68800"/>
  </r>
  <r>
    <x v="145"/>
    <x v="9"/>
    <x v="4"/>
    <x v="4"/>
    <n v="34"/>
    <n v="450"/>
    <n v="15300"/>
  </r>
  <r>
    <x v="704"/>
    <x v="9"/>
    <x v="4"/>
    <x v="2"/>
    <n v="44"/>
    <n v="800"/>
    <n v="35200"/>
  </r>
  <r>
    <x v="80"/>
    <x v="9"/>
    <x v="4"/>
    <x v="4"/>
    <n v="52"/>
    <n v="450"/>
    <n v="23400"/>
  </r>
  <r>
    <x v="705"/>
    <x v="9"/>
    <x v="2"/>
    <x v="1"/>
    <n v="9"/>
    <n v="1200"/>
    <n v="10800"/>
  </r>
  <r>
    <x v="706"/>
    <x v="9"/>
    <x v="1"/>
    <x v="0"/>
    <n v="54"/>
    <n v="650"/>
    <n v="35100"/>
  </r>
  <r>
    <x v="707"/>
    <x v="9"/>
    <x v="4"/>
    <x v="0"/>
    <n v="57"/>
    <n v="650"/>
    <n v="37050"/>
  </r>
  <r>
    <x v="708"/>
    <x v="9"/>
    <x v="4"/>
    <x v="3"/>
    <n v="78"/>
    <n v="820"/>
    <n v="63960"/>
  </r>
  <r>
    <x v="709"/>
    <x v="9"/>
    <x v="2"/>
    <x v="2"/>
    <n v="6"/>
    <n v="800"/>
    <n v="4800"/>
  </r>
  <r>
    <x v="710"/>
    <x v="9"/>
    <x v="3"/>
    <x v="3"/>
    <n v="51"/>
    <n v="950"/>
    <n v="48450"/>
  </r>
  <r>
    <x v="711"/>
    <x v="9"/>
    <x v="4"/>
    <x v="3"/>
    <n v="17"/>
    <n v="820"/>
    <n v="13940"/>
  </r>
  <r>
    <x v="712"/>
    <x v="9"/>
    <x v="0"/>
    <x v="3"/>
    <n v="57"/>
    <n v="820"/>
    <n v="46740"/>
  </r>
  <r>
    <x v="713"/>
    <x v="9"/>
    <x v="1"/>
    <x v="2"/>
    <n v="5"/>
    <n v="800"/>
    <n v="4000"/>
  </r>
  <r>
    <x v="714"/>
    <x v="9"/>
    <x v="3"/>
    <x v="3"/>
    <n v="83"/>
    <n v="820"/>
    <n v="68060"/>
  </r>
  <r>
    <x v="715"/>
    <x v="9"/>
    <x v="4"/>
    <x v="0"/>
    <n v="286"/>
    <n v="650"/>
    <n v="185900"/>
  </r>
  <r>
    <x v="716"/>
    <x v="9"/>
    <x v="0"/>
    <x v="2"/>
    <n v="51"/>
    <n v="800"/>
    <n v="40800"/>
  </r>
  <r>
    <x v="717"/>
    <x v="9"/>
    <x v="3"/>
    <x v="0"/>
    <n v="27"/>
    <n v="650"/>
    <n v="17550"/>
  </r>
  <r>
    <x v="194"/>
    <x v="9"/>
    <x v="4"/>
    <x v="3"/>
    <n v="29"/>
    <n v="820"/>
    <n v="23780"/>
  </r>
  <r>
    <x v="718"/>
    <x v="9"/>
    <x v="3"/>
    <x v="0"/>
    <n v="76"/>
    <n v="650"/>
    <n v="49400"/>
  </r>
  <r>
    <x v="719"/>
    <x v="9"/>
    <x v="2"/>
    <x v="3"/>
    <n v="32"/>
    <n v="820"/>
    <n v="26240"/>
  </r>
  <r>
    <x v="134"/>
    <x v="10"/>
    <x v="0"/>
    <x v="3"/>
    <n v="142"/>
    <n v="820"/>
    <n v="116440"/>
  </r>
  <r>
    <x v="720"/>
    <x v="10"/>
    <x v="5"/>
    <x v="2"/>
    <n v="46"/>
    <n v="800"/>
    <n v="36800"/>
  </r>
  <r>
    <x v="721"/>
    <x v="10"/>
    <x v="1"/>
    <x v="3"/>
    <n v="7"/>
    <n v="820"/>
    <n v="5740"/>
  </r>
  <r>
    <x v="131"/>
    <x v="10"/>
    <x v="3"/>
    <x v="3"/>
    <n v="27"/>
    <n v="820"/>
    <n v="22140"/>
  </r>
  <r>
    <x v="722"/>
    <x v="10"/>
    <x v="0"/>
    <x v="3"/>
    <n v="24"/>
    <n v="820"/>
    <n v="19680"/>
  </r>
  <r>
    <x v="723"/>
    <x v="10"/>
    <x v="5"/>
    <x v="0"/>
    <n v="78"/>
    <n v="650"/>
    <n v="50700"/>
  </r>
  <r>
    <x v="482"/>
    <x v="10"/>
    <x v="0"/>
    <x v="2"/>
    <n v="23"/>
    <n v="800"/>
    <n v="18400"/>
  </r>
  <r>
    <x v="402"/>
    <x v="10"/>
    <x v="3"/>
    <x v="4"/>
    <n v="3"/>
    <n v="450"/>
    <n v="1350"/>
  </r>
  <r>
    <x v="427"/>
    <x v="10"/>
    <x v="0"/>
    <x v="1"/>
    <n v="38"/>
    <n v="1200"/>
    <n v="45600"/>
  </r>
  <r>
    <x v="724"/>
    <x v="10"/>
    <x v="2"/>
    <x v="0"/>
    <n v="4"/>
    <n v="650"/>
    <n v="2600"/>
  </r>
  <r>
    <x v="618"/>
    <x v="10"/>
    <x v="4"/>
    <x v="2"/>
    <n v="267"/>
    <n v="800"/>
    <n v="213600"/>
  </r>
  <r>
    <x v="397"/>
    <x v="10"/>
    <x v="5"/>
    <x v="0"/>
    <n v="188"/>
    <n v="650"/>
    <n v="122200"/>
  </r>
  <r>
    <x v="581"/>
    <x v="10"/>
    <x v="4"/>
    <x v="4"/>
    <n v="96"/>
    <n v="450"/>
    <n v="43200"/>
  </r>
  <r>
    <x v="725"/>
    <x v="10"/>
    <x v="2"/>
    <x v="3"/>
    <n v="1"/>
    <n v="820"/>
    <n v="820"/>
  </r>
  <r>
    <x v="726"/>
    <x v="10"/>
    <x v="1"/>
    <x v="3"/>
    <n v="11"/>
    <n v="820"/>
    <n v="9020"/>
  </r>
  <r>
    <x v="727"/>
    <x v="10"/>
    <x v="1"/>
    <x v="3"/>
    <n v="14"/>
    <n v="820"/>
    <n v="11480"/>
  </r>
  <r>
    <x v="245"/>
    <x v="10"/>
    <x v="0"/>
    <x v="3"/>
    <n v="28"/>
    <n v="950"/>
    <n v="26600"/>
  </r>
  <r>
    <x v="596"/>
    <x v="10"/>
    <x v="2"/>
    <x v="4"/>
    <n v="8"/>
    <n v="450"/>
    <n v="3600"/>
  </r>
  <r>
    <x v="728"/>
    <x v="10"/>
    <x v="5"/>
    <x v="2"/>
    <n v="18"/>
    <n v="800"/>
    <n v="14400"/>
  </r>
  <r>
    <x v="729"/>
    <x v="10"/>
    <x v="5"/>
    <x v="4"/>
    <n v="66"/>
    <n v="450"/>
    <n v="29700"/>
  </r>
  <r>
    <x v="521"/>
    <x v="10"/>
    <x v="5"/>
    <x v="0"/>
    <n v="74"/>
    <n v="650"/>
    <n v="48100"/>
  </r>
  <r>
    <x v="730"/>
    <x v="10"/>
    <x v="1"/>
    <x v="1"/>
    <n v="44"/>
    <n v="1200"/>
    <n v="52800"/>
  </r>
  <r>
    <x v="561"/>
    <x v="10"/>
    <x v="3"/>
    <x v="3"/>
    <n v="26"/>
    <n v="820"/>
    <n v="21320"/>
  </r>
  <r>
    <x v="731"/>
    <x v="10"/>
    <x v="2"/>
    <x v="2"/>
    <n v="46"/>
    <n v="800"/>
    <n v="36800"/>
  </r>
  <r>
    <x v="732"/>
    <x v="10"/>
    <x v="2"/>
    <x v="3"/>
    <n v="4"/>
    <n v="820"/>
    <n v="3280"/>
  </r>
  <r>
    <x v="526"/>
    <x v="10"/>
    <x v="5"/>
    <x v="3"/>
    <n v="96"/>
    <n v="950"/>
    <n v="91200"/>
  </r>
  <r>
    <x v="733"/>
    <x v="10"/>
    <x v="3"/>
    <x v="3"/>
    <n v="166"/>
    <n v="950"/>
    <n v="157700"/>
  </r>
  <r>
    <x v="708"/>
    <x v="10"/>
    <x v="0"/>
    <x v="2"/>
    <n v="7"/>
    <n v="800"/>
    <n v="5600"/>
  </r>
  <r>
    <x v="241"/>
    <x v="10"/>
    <x v="2"/>
    <x v="2"/>
    <n v="6"/>
    <n v="800"/>
    <n v="4800"/>
  </r>
  <r>
    <x v="734"/>
    <x v="10"/>
    <x v="3"/>
    <x v="3"/>
    <n v="44"/>
    <n v="950"/>
    <n v="41800"/>
  </r>
  <r>
    <x v="218"/>
    <x v="10"/>
    <x v="0"/>
    <x v="3"/>
    <n v="70"/>
    <n v="820"/>
    <n v="57400"/>
  </r>
  <r>
    <x v="735"/>
    <x v="10"/>
    <x v="4"/>
    <x v="2"/>
    <n v="116"/>
    <n v="800"/>
    <n v="92800"/>
  </r>
  <r>
    <x v="593"/>
    <x v="10"/>
    <x v="4"/>
    <x v="2"/>
    <n v="149"/>
    <n v="800"/>
    <n v="119200"/>
  </r>
  <r>
    <x v="736"/>
    <x v="10"/>
    <x v="1"/>
    <x v="3"/>
    <n v="40"/>
    <n v="820"/>
    <n v="32800"/>
  </r>
  <r>
    <x v="737"/>
    <x v="10"/>
    <x v="4"/>
    <x v="4"/>
    <n v="199"/>
    <n v="450"/>
    <n v="89550"/>
  </r>
  <r>
    <x v="738"/>
    <x v="10"/>
    <x v="0"/>
    <x v="4"/>
    <n v="69"/>
    <n v="450"/>
    <n v="31050"/>
  </r>
  <r>
    <x v="671"/>
    <x v="10"/>
    <x v="2"/>
    <x v="2"/>
    <n v="18"/>
    <n v="800"/>
    <n v="14400"/>
  </r>
  <r>
    <x v="739"/>
    <x v="10"/>
    <x v="5"/>
    <x v="2"/>
    <n v="52"/>
    <n v="800"/>
    <n v="41600"/>
  </r>
  <r>
    <x v="740"/>
    <x v="10"/>
    <x v="1"/>
    <x v="0"/>
    <n v="46"/>
    <n v="650"/>
    <n v="29900"/>
  </r>
  <r>
    <x v="518"/>
    <x v="10"/>
    <x v="0"/>
    <x v="4"/>
    <n v="11"/>
    <n v="450"/>
    <n v="4950"/>
  </r>
  <r>
    <x v="741"/>
    <x v="10"/>
    <x v="0"/>
    <x v="3"/>
    <n v="110"/>
    <n v="820"/>
    <n v="90200"/>
  </r>
  <r>
    <x v="725"/>
    <x v="10"/>
    <x v="4"/>
    <x v="1"/>
    <n v="131"/>
    <n v="1200"/>
    <n v="157200"/>
  </r>
  <r>
    <x v="310"/>
    <x v="10"/>
    <x v="1"/>
    <x v="3"/>
    <n v="44"/>
    <n v="950"/>
    <n v="41800"/>
  </r>
  <r>
    <x v="171"/>
    <x v="10"/>
    <x v="4"/>
    <x v="1"/>
    <n v="114"/>
    <n v="1200"/>
    <n v="136800"/>
  </r>
  <r>
    <x v="742"/>
    <x v="10"/>
    <x v="3"/>
    <x v="3"/>
    <n v="16"/>
    <n v="820"/>
    <n v="13120"/>
  </r>
  <r>
    <x v="743"/>
    <x v="10"/>
    <x v="2"/>
    <x v="3"/>
    <n v="29"/>
    <n v="820"/>
    <n v="23780"/>
  </r>
  <r>
    <x v="744"/>
    <x v="10"/>
    <x v="2"/>
    <x v="2"/>
    <n v="14"/>
    <n v="800"/>
    <n v="11200"/>
  </r>
  <r>
    <x v="745"/>
    <x v="10"/>
    <x v="3"/>
    <x v="2"/>
    <n v="70"/>
    <n v="800"/>
    <n v="56000"/>
  </r>
  <r>
    <x v="746"/>
    <x v="10"/>
    <x v="0"/>
    <x v="0"/>
    <n v="11"/>
    <n v="650"/>
    <n v="7150"/>
  </r>
  <r>
    <x v="747"/>
    <x v="10"/>
    <x v="1"/>
    <x v="0"/>
    <n v="1"/>
    <n v="650"/>
    <n v="650"/>
  </r>
  <r>
    <x v="719"/>
    <x v="10"/>
    <x v="2"/>
    <x v="1"/>
    <n v="3"/>
    <n v="1200"/>
    <n v="3600"/>
  </r>
  <r>
    <x v="106"/>
    <x v="10"/>
    <x v="2"/>
    <x v="3"/>
    <n v="45"/>
    <n v="820"/>
    <n v="36900"/>
  </r>
  <r>
    <x v="748"/>
    <x v="10"/>
    <x v="1"/>
    <x v="1"/>
    <n v="18"/>
    <n v="1200"/>
    <n v="21600"/>
  </r>
  <r>
    <x v="749"/>
    <x v="10"/>
    <x v="4"/>
    <x v="4"/>
    <n v="106"/>
    <n v="450"/>
    <n v="47700"/>
  </r>
  <r>
    <x v="750"/>
    <x v="10"/>
    <x v="5"/>
    <x v="4"/>
    <n v="15"/>
    <n v="450"/>
    <n v="6750"/>
  </r>
  <r>
    <x v="679"/>
    <x v="10"/>
    <x v="1"/>
    <x v="3"/>
    <n v="9"/>
    <n v="950"/>
    <n v="8550"/>
  </r>
  <r>
    <x v="751"/>
    <x v="10"/>
    <x v="0"/>
    <x v="1"/>
    <n v="109"/>
    <n v="1200"/>
    <n v="130800"/>
  </r>
  <r>
    <x v="41"/>
    <x v="10"/>
    <x v="3"/>
    <x v="3"/>
    <n v="19"/>
    <n v="950"/>
    <n v="18050"/>
  </r>
  <r>
    <x v="487"/>
    <x v="11"/>
    <x v="5"/>
    <x v="4"/>
    <n v="11"/>
    <n v="450"/>
    <n v="4950"/>
  </r>
  <r>
    <x v="752"/>
    <x v="11"/>
    <x v="4"/>
    <x v="0"/>
    <n v="42"/>
    <n v="650"/>
    <n v="27300"/>
  </r>
  <r>
    <x v="129"/>
    <x v="11"/>
    <x v="5"/>
    <x v="2"/>
    <n v="18"/>
    <n v="800"/>
    <n v="14400"/>
  </r>
  <r>
    <x v="753"/>
    <x v="11"/>
    <x v="3"/>
    <x v="2"/>
    <n v="106"/>
    <n v="800"/>
    <n v="84800"/>
  </r>
  <r>
    <x v="754"/>
    <x v="11"/>
    <x v="5"/>
    <x v="3"/>
    <n v="131"/>
    <n v="950"/>
    <n v="124450"/>
  </r>
  <r>
    <x v="755"/>
    <x v="11"/>
    <x v="5"/>
    <x v="3"/>
    <n v="43"/>
    <n v="820"/>
    <n v="35260"/>
  </r>
  <r>
    <x v="713"/>
    <x v="11"/>
    <x v="1"/>
    <x v="2"/>
    <n v="90"/>
    <n v="800"/>
    <n v="72000"/>
  </r>
  <r>
    <x v="290"/>
    <x v="11"/>
    <x v="4"/>
    <x v="3"/>
    <n v="97"/>
    <n v="820"/>
    <n v="79540"/>
  </r>
  <r>
    <x v="756"/>
    <x v="11"/>
    <x v="2"/>
    <x v="3"/>
    <n v="11"/>
    <n v="820"/>
    <n v="9020"/>
  </r>
  <r>
    <x v="130"/>
    <x v="11"/>
    <x v="5"/>
    <x v="0"/>
    <n v="192"/>
    <n v="650"/>
    <n v="124800"/>
  </r>
  <r>
    <x v="757"/>
    <x v="11"/>
    <x v="4"/>
    <x v="4"/>
    <n v="43"/>
    <n v="450"/>
    <n v="19350"/>
  </r>
  <r>
    <x v="758"/>
    <x v="11"/>
    <x v="3"/>
    <x v="1"/>
    <n v="86"/>
    <n v="1200"/>
    <n v="103200"/>
  </r>
  <r>
    <x v="759"/>
    <x v="11"/>
    <x v="4"/>
    <x v="3"/>
    <n v="5"/>
    <n v="950"/>
    <n v="4750"/>
  </r>
  <r>
    <x v="760"/>
    <x v="11"/>
    <x v="3"/>
    <x v="3"/>
    <n v="35"/>
    <n v="950"/>
    <n v="33250"/>
  </r>
  <r>
    <x v="245"/>
    <x v="11"/>
    <x v="1"/>
    <x v="4"/>
    <n v="19"/>
    <n v="450"/>
    <n v="8550"/>
  </r>
  <r>
    <x v="761"/>
    <x v="11"/>
    <x v="5"/>
    <x v="2"/>
    <n v="34"/>
    <n v="800"/>
    <n v="27200"/>
  </r>
  <r>
    <x v="762"/>
    <x v="11"/>
    <x v="0"/>
    <x v="1"/>
    <n v="9"/>
    <n v="1200"/>
    <n v="10800"/>
  </r>
  <r>
    <x v="763"/>
    <x v="11"/>
    <x v="3"/>
    <x v="3"/>
    <n v="6"/>
    <n v="950"/>
    <n v="5700"/>
  </r>
  <r>
    <x v="764"/>
    <x v="11"/>
    <x v="4"/>
    <x v="1"/>
    <n v="77"/>
    <n v="1200"/>
    <n v="92400"/>
  </r>
  <r>
    <x v="765"/>
    <x v="11"/>
    <x v="1"/>
    <x v="1"/>
    <n v="49"/>
    <n v="1200"/>
    <n v="58800"/>
  </r>
  <r>
    <x v="766"/>
    <x v="11"/>
    <x v="5"/>
    <x v="1"/>
    <n v="31"/>
    <n v="1200"/>
    <n v="37200"/>
  </r>
  <r>
    <x v="767"/>
    <x v="11"/>
    <x v="3"/>
    <x v="3"/>
    <n v="22"/>
    <n v="820"/>
    <n v="18040"/>
  </r>
  <r>
    <x v="768"/>
    <x v="11"/>
    <x v="5"/>
    <x v="2"/>
    <n v="121"/>
    <n v="800"/>
    <n v="96800"/>
  </r>
  <r>
    <x v="148"/>
    <x v="11"/>
    <x v="2"/>
    <x v="0"/>
    <n v="11"/>
    <n v="650"/>
    <n v="7150"/>
  </r>
  <r>
    <x v="565"/>
    <x v="11"/>
    <x v="1"/>
    <x v="1"/>
    <n v="55"/>
    <n v="1200"/>
    <n v="66000"/>
  </r>
  <r>
    <x v="89"/>
    <x v="11"/>
    <x v="5"/>
    <x v="3"/>
    <n v="219"/>
    <n v="820"/>
    <n v="179580"/>
  </r>
  <r>
    <x v="118"/>
    <x v="11"/>
    <x v="2"/>
    <x v="0"/>
    <n v="6"/>
    <n v="650"/>
    <n v="3900"/>
  </r>
  <r>
    <x v="664"/>
    <x v="11"/>
    <x v="5"/>
    <x v="3"/>
    <n v="17"/>
    <n v="950"/>
    <n v="16150"/>
  </r>
  <r>
    <x v="561"/>
    <x v="11"/>
    <x v="0"/>
    <x v="3"/>
    <n v="18"/>
    <n v="950"/>
    <n v="17100"/>
  </r>
  <r>
    <x v="769"/>
    <x v="11"/>
    <x v="4"/>
    <x v="3"/>
    <n v="26"/>
    <n v="950"/>
    <n v="24700"/>
  </r>
  <r>
    <x v="770"/>
    <x v="11"/>
    <x v="1"/>
    <x v="1"/>
    <n v="3"/>
    <n v="1200"/>
    <n v="3600"/>
  </r>
  <r>
    <x v="771"/>
    <x v="11"/>
    <x v="1"/>
    <x v="3"/>
    <n v="27"/>
    <n v="820"/>
    <n v="22140"/>
  </r>
  <r>
    <x v="772"/>
    <x v="11"/>
    <x v="2"/>
    <x v="3"/>
    <n v="8"/>
    <n v="950"/>
    <n v="7600"/>
  </r>
  <r>
    <x v="773"/>
    <x v="11"/>
    <x v="0"/>
    <x v="2"/>
    <n v="56"/>
    <n v="800"/>
    <n v="44800"/>
  </r>
  <r>
    <x v="774"/>
    <x v="11"/>
    <x v="3"/>
    <x v="3"/>
    <n v="32"/>
    <n v="950"/>
    <n v="30400"/>
  </r>
  <r>
    <x v="246"/>
    <x v="11"/>
    <x v="3"/>
    <x v="2"/>
    <n v="25"/>
    <n v="800"/>
    <n v="20000"/>
  </r>
  <r>
    <x v="41"/>
    <x v="11"/>
    <x v="1"/>
    <x v="0"/>
    <n v="4"/>
    <n v="650"/>
    <n v="2600"/>
  </r>
  <r>
    <x v="775"/>
    <x v="11"/>
    <x v="2"/>
    <x v="1"/>
    <n v="16"/>
    <n v="1200"/>
    <n v="19200"/>
  </r>
  <r>
    <x v="648"/>
    <x v="11"/>
    <x v="3"/>
    <x v="0"/>
    <n v="68"/>
    <n v="650"/>
    <n v="44200"/>
  </r>
  <r>
    <x v="311"/>
    <x v="11"/>
    <x v="3"/>
    <x v="0"/>
    <n v="68"/>
    <n v="650"/>
    <n v="44200"/>
  </r>
  <r>
    <x v="466"/>
    <x v="11"/>
    <x v="4"/>
    <x v="2"/>
    <n v="31"/>
    <n v="800"/>
    <n v="24800"/>
  </r>
  <r>
    <x v="357"/>
    <x v="11"/>
    <x v="1"/>
    <x v="3"/>
    <n v="27"/>
    <n v="950"/>
    <n v="25650"/>
  </r>
  <r>
    <x v="761"/>
    <x v="11"/>
    <x v="5"/>
    <x v="3"/>
    <n v="84"/>
    <n v="950"/>
    <n v="79800"/>
  </r>
  <r>
    <x v="345"/>
    <x v="11"/>
    <x v="3"/>
    <x v="3"/>
    <n v="58"/>
    <n v="820"/>
    <n v="47560"/>
  </r>
  <r>
    <x v="776"/>
    <x v="11"/>
    <x v="3"/>
    <x v="3"/>
    <n v="6"/>
    <n v="820"/>
    <n v="4920"/>
  </r>
  <r>
    <x v="348"/>
    <x v="11"/>
    <x v="4"/>
    <x v="2"/>
    <n v="57"/>
    <n v="800"/>
    <n v="45600"/>
  </r>
  <r>
    <x v="725"/>
    <x v="11"/>
    <x v="5"/>
    <x v="2"/>
    <n v="27"/>
    <n v="800"/>
    <n v="21600"/>
  </r>
  <r>
    <x v="333"/>
    <x v="11"/>
    <x v="0"/>
    <x v="2"/>
    <n v="149"/>
    <n v="800"/>
    <n v="119200"/>
  </r>
  <r>
    <x v="330"/>
    <x v="11"/>
    <x v="4"/>
    <x v="4"/>
    <n v="33"/>
    <n v="450"/>
    <n v="14850"/>
  </r>
  <r>
    <x v="341"/>
    <x v="11"/>
    <x v="4"/>
    <x v="0"/>
    <n v="66"/>
    <n v="650"/>
    <n v="42900"/>
  </r>
  <r>
    <x v="777"/>
    <x v="11"/>
    <x v="4"/>
    <x v="2"/>
    <n v="212"/>
    <n v="800"/>
    <n v="169600"/>
  </r>
  <r>
    <x v="778"/>
    <x v="11"/>
    <x v="1"/>
    <x v="2"/>
    <n v="50"/>
    <n v="800"/>
    <n v="40000"/>
  </r>
  <r>
    <x v="779"/>
    <x v="11"/>
    <x v="4"/>
    <x v="1"/>
    <n v="43"/>
    <n v="1200"/>
    <n v="51600"/>
  </r>
  <r>
    <x v="421"/>
    <x v="11"/>
    <x v="4"/>
    <x v="0"/>
    <n v="5"/>
    <n v="650"/>
    <n v="3250"/>
  </r>
  <r>
    <x v="780"/>
    <x v="11"/>
    <x v="0"/>
    <x v="4"/>
    <n v="36"/>
    <n v="450"/>
    <n v="16200"/>
  </r>
  <r>
    <x v="781"/>
    <x v="11"/>
    <x v="2"/>
    <x v="1"/>
    <n v="14"/>
    <n v="1200"/>
    <n v="16800"/>
  </r>
  <r>
    <x v="782"/>
    <x v="11"/>
    <x v="3"/>
    <x v="2"/>
    <n v="49"/>
    <n v="800"/>
    <n v="39200"/>
  </r>
  <r>
    <x v="783"/>
    <x v="11"/>
    <x v="0"/>
    <x v="3"/>
    <n v="24"/>
    <n v="950"/>
    <n v="22800"/>
  </r>
  <r>
    <x v="531"/>
    <x v="11"/>
    <x v="5"/>
    <x v="3"/>
    <n v="121"/>
    <n v="820"/>
    <n v="99220"/>
  </r>
  <r>
    <x v="493"/>
    <x v="11"/>
    <x v="4"/>
    <x v="4"/>
    <n v="47"/>
    <n v="450"/>
    <n v="21150"/>
  </r>
  <r>
    <x v="784"/>
    <x v="11"/>
    <x v="5"/>
    <x v="3"/>
    <n v="57"/>
    <n v="820"/>
    <n v="46740"/>
  </r>
  <r>
    <x v="785"/>
    <x v="11"/>
    <x v="2"/>
    <x v="0"/>
    <n v="36"/>
    <n v="650"/>
    <n v="23400"/>
  </r>
  <r>
    <x v="786"/>
    <x v="11"/>
    <x v="2"/>
    <x v="3"/>
    <n v="37"/>
    <n v="950"/>
    <n v="35150"/>
  </r>
  <r>
    <x v="787"/>
    <x v="11"/>
    <x v="0"/>
    <x v="2"/>
    <n v="29"/>
    <n v="800"/>
    <n v="23200"/>
  </r>
  <r>
    <x v="339"/>
    <x v="11"/>
    <x v="4"/>
    <x v="3"/>
    <n v="212"/>
    <n v="820"/>
    <n v="173840"/>
  </r>
  <r>
    <x v="232"/>
    <x v="11"/>
    <x v="0"/>
    <x v="2"/>
    <n v="1"/>
    <n v="800"/>
    <n v="800"/>
  </r>
  <r>
    <x v="788"/>
    <x v="11"/>
    <x v="0"/>
    <x v="3"/>
    <n v="53"/>
    <n v="820"/>
    <n v="43460"/>
  </r>
  <r>
    <x v="581"/>
    <x v="11"/>
    <x v="3"/>
    <x v="2"/>
    <n v="133"/>
    <n v="800"/>
    <n v="106400"/>
  </r>
  <r>
    <x v="789"/>
    <x v="11"/>
    <x v="0"/>
    <x v="3"/>
    <n v="122"/>
    <n v="950"/>
    <n v="115900"/>
  </r>
  <r>
    <x v="790"/>
    <x v="11"/>
    <x v="3"/>
    <x v="2"/>
    <n v="23"/>
    <n v="800"/>
    <n v="18400"/>
  </r>
  <r>
    <x v="276"/>
    <x v="11"/>
    <x v="0"/>
    <x v="0"/>
    <n v="13"/>
    <n v="650"/>
    <n v="8450"/>
  </r>
  <r>
    <x v="237"/>
    <x v="11"/>
    <x v="0"/>
    <x v="1"/>
    <n v="9"/>
    <n v="1200"/>
    <n v="10800"/>
  </r>
  <r>
    <x v="791"/>
    <x v="11"/>
    <x v="0"/>
    <x v="2"/>
    <n v="18"/>
    <n v="800"/>
    <n v="14400"/>
  </r>
  <r>
    <x v="792"/>
    <x v="11"/>
    <x v="4"/>
    <x v="2"/>
    <n v="199"/>
    <n v="800"/>
    <n v="159200"/>
  </r>
  <r>
    <x v="793"/>
    <x v="11"/>
    <x v="2"/>
    <x v="2"/>
    <n v="13"/>
    <n v="800"/>
    <n v="10400"/>
  </r>
  <r>
    <x v="794"/>
    <x v="12"/>
    <x v="5"/>
    <x v="3"/>
    <n v="37"/>
    <n v="820"/>
    <n v="30340"/>
  </r>
  <r>
    <x v="795"/>
    <x v="12"/>
    <x v="3"/>
    <x v="4"/>
    <n v="23"/>
    <n v="450"/>
    <n v="10350"/>
  </r>
  <r>
    <x v="248"/>
    <x v="12"/>
    <x v="1"/>
    <x v="2"/>
    <n v="51"/>
    <n v="800"/>
    <n v="40800"/>
  </r>
  <r>
    <x v="796"/>
    <x v="12"/>
    <x v="1"/>
    <x v="2"/>
    <n v="56"/>
    <n v="800"/>
    <n v="44800"/>
  </r>
  <r>
    <x v="710"/>
    <x v="12"/>
    <x v="4"/>
    <x v="3"/>
    <n v="173"/>
    <n v="820"/>
    <n v="141860"/>
  </r>
  <r>
    <x v="161"/>
    <x v="12"/>
    <x v="1"/>
    <x v="1"/>
    <n v="5"/>
    <n v="1200"/>
    <n v="6000"/>
  </r>
  <r>
    <x v="407"/>
    <x v="12"/>
    <x v="0"/>
    <x v="0"/>
    <n v="78"/>
    <n v="650"/>
    <n v="50700"/>
  </r>
  <r>
    <x v="765"/>
    <x v="12"/>
    <x v="5"/>
    <x v="1"/>
    <n v="50"/>
    <n v="1200"/>
    <n v="60000"/>
  </r>
  <r>
    <x v="797"/>
    <x v="12"/>
    <x v="2"/>
    <x v="0"/>
    <n v="5"/>
    <n v="650"/>
    <n v="3250"/>
  </r>
  <r>
    <x v="199"/>
    <x v="12"/>
    <x v="1"/>
    <x v="0"/>
    <n v="23"/>
    <n v="650"/>
    <n v="14950"/>
  </r>
  <r>
    <x v="798"/>
    <x v="12"/>
    <x v="3"/>
    <x v="3"/>
    <n v="62"/>
    <n v="950"/>
    <n v="58900"/>
  </r>
  <r>
    <x v="799"/>
    <x v="12"/>
    <x v="4"/>
    <x v="4"/>
    <n v="44"/>
    <n v="450"/>
    <n v="19800"/>
  </r>
  <r>
    <x v="800"/>
    <x v="12"/>
    <x v="0"/>
    <x v="3"/>
    <n v="29"/>
    <n v="820"/>
    <n v="23780"/>
  </r>
  <r>
    <x v="22"/>
    <x v="12"/>
    <x v="3"/>
    <x v="2"/>
    <n v="35"/>
    <n v="800"/>
    <n v="28000"/>
  </r>
  <r>
    <x v="461"/>
    <x v="12"/>
    <x v="5"/>
    <x v="1"/>
    <n v="42"/>
    <n v="1200"/>
    <n v="50400"/>
  </r>
  <r>
    <x v="801"/>
    <x v="12"/>
    <x v="0"/>
    <x v="1"/>
    <n v="56"/>
    <n v="1200"/>
    <n v="67200"/>
  </r>
  <r>
    <x v="789"/>
    <x v="12"/>
    <x v="3"/>
    <x v="1"/>
    <n v="93"/>
    <n v="1200"/>
    <n v="111600"/>
  </r>
  <r>
    <x v="802"/>
    <x v="12"/>
    <x v="4"/>
    <x v="3"/>
    <n v="22"/>
    <n v="950"/>
    <n v="20900"/>
  </r>
  <r>
    <x v="803"/>
    <x v="12"/>
    <x v="1"/>
    <x v="3"/>
    <n v="1"/>
    <n v="820"/>
    <n v="820"/>
  </r>
  <r>
    <x v="804"/>
    <x v="12"/>
    <x v="4"/>
    <x v="3"/>
    <n v="139"/>
    <n v="820"/>
    <n v="113980"/>
  </r>
  <r>
    <x v="504"/>
    <x v="12"/>
    <x v="5"/>
    <x v="2"/>
    <n v="44"/>
    <n v="800"/>
    <n v="35200"/>
  </r>
  <r>
    <x v="805"/>
    <x v="12"/>
    <x v="2"/>
    <x v="2"/>
    <n v="18"/>
    <n v="800"/>
    <n v="14400"/>
  </r>
  <r>
    <x v="806"/>
    <x v="12"/>
    <x v="2"/>
    <x v="1"/>
    <n v="5"/>
    <n v="1200"/>
    <n v="6000"/>
  </r>
  <r>
    <x v="807"/>
    <x v="12"/>
    <x v="2"/>
    <x v="1"/>
    <n v="1"/>
    <n v="1200"/>
    <n v="1200"/>
  </r>
  <r>
    <x v="808"/>
    <x v="12"/>
    <x v="3"/>
    <x v="2"/>
    <n v="58"/>
    <n v="800"/>
    <n v="46400"/>
  </r>
  <r>
    <x v="809"/>
    <x v="12"/>
    <x v="4"/>
    <x v="2"/>
    <n v="15"/>
    <n v="800"/>
    <n v="12000"/>
  </r>
  <r>
    <x v="810"/>
    <x v="12"/>
    <x v="0"/>
    <x v="3"/>
    <n v="28"/>
    <n v="820"/>
    <n v="22960"/>
  </r>
  <r>
    <x v="811"/>
    <x v="12"/>
    <x v="4"/>
    <x v="2"/>
    <n v="97"/>
    <n v="800"/>
    <n v="77600"/>
  </r>
  <r>
    <x v="812"/>
    <x v="12"/>
    <x v="5"/>
    <x v="2"/>
    <n v="211"/>
    <n v="800"/>
    <n v="168800"/>
  </r>
  <r>
    <x v="435"/>
    <x v="12"/>
    <x v="0"/>
    <x v="3"/>
    <n v="3"/>
    <n v="820"/>
    <n v="2460"/>
  </r>
  <r>
    <x v="813"/>
    <x v="12"/>
    <x v="5"/>
    <x v="1"/>
    <n v="81"/>
    <n v="1200"/>
    <n v="97200"/>
  </r>
  <r>
    <x v="814"/>
    <x v="12"/>
    <x v="0"/>
    <x v="3"/>
    <n v="79"/>
    <n v="820"/>
    <n v="64780"/>
  </r>
  <r>
    <x v="641"/>
    <x v="12"/>
    <x v="0"/>
    <x v="2"/>
    <n v="52"/>
    <n v="800"/>
    <n v="41600"/>
  </r>
  <r>
    <x v="815"/>
    <x v="12"/>
    <x v="5"/>
    <x v="2"/>
    <n v="1"/>
    <n v="800"/>
    <n v="800"/>
  </r>
  <r>
    <x v="769"/>
    <x v="12"/>
    <x v="0"/>
    <x v="0"/>
    <n v="6"/>
    <n v="650"/>
    <n v="3900"/>
  </r>
  <r>
    <x v="816"/>
    <x v="12"/>
    <x v="5"/>
    <x v="3"/>
    <n v="25"/>
    <n v="820"/>
    <n v="20500"/>
  </r>
  <r>
    <x v="817"/>
    <x v="12"/>
    <x v="5"/>
    <x v="2"/>
    <n v="115"/>
    <n v="800"/>
    <n v="92000"/>
  </r>
  <r>
    <x v="818"/>
    <x v="12"/>
    <x v="3"/>
    <x v="3"/>
    <n v="1"/>
    <n v="820"/>
    <n v="820"/>
  </r>
  <r>
    <x v="139"/>
    <x v="12"/>
    <x v="1"/>
    <x v="3"/>
    <n v="55"/>
    <n v="950"/>
    <n v="52250"/>
  </r>
  <r>
    <x v="241"/>
    <x v="12"/>
    <x v="2"/>
    <x v="3"/>
    <n v="4"/>
    <n v="950"/>
    <n v="3800"/>
  </r>
  <r>
    <x v="819"/>
    <x v="12"/>
    <x v="1"/>
    <x v="0"/>
    <n v="21"/>
    <n v="650"/>
    <n v="13650"/>
  </r>
  <r>
    <x v="8"/>
    <x v="12"/>
    <x v="5"/>
    <x v="1"/>
    <n v="14"/>
    <n v="1200"/>
    <n v="16800"/>
  </r>
  <r>
    <x v="820"/>
    <x v="12"/>
    <x v="5"/>
    <x v="3"/>
    <n v="144"/>
    <n v="820"/>
    <n v="118080"/>
  </r>
  <r>
    <x v="529"/>
    <x v="12"/>
    <x v="4"/>
    <x v="1"/>
    <n v="173"/>
    <n v="1200"/>
    <n v="207600"/>
  </r>
  <r>
    <x v="821"/>
    <x v="12"/>
    <x v="5"/>
    <x v="4"/>
    <n v="98"/>
    <n v="450"/>
    <n v="44100"/>
  </r>
  <r>
    <x v="822"/>
    <x v="12"/>
    <x v="0"/>
    <x v="2"/>
    <n v="35"/>
    <n v="800"/>
    <n v="28000"/>
  </r>
  <r>
    <x v="81"/>
    <x v="12"/>
    <x v="2"/>
    <x v="3"/>
    <n v="43"/>
    <n v="820"/>
    <n v="35260"/>
  </r>
  <r>
    <x v="823"/>
    <x v="12"/>
    <x v="2"/>
    <x v="3"/>
    <n v="1"/>
    <n v="820"/>
    <n v="820"/>
  </r>
  <r>
    <x v="163"/>
    <x v="13"/>
    <x v="5"/>
    <x v="1"/>
    <n v="114"/>
    <n v="1200"/>
    <n v="136800"/>
  </r>
  <r>
    <x v="361"/>
    <x v="13"/>
    <x v="5"/>
    <x v="2"/>
    <n v="47"/>
    <n v="800"/>
    <n v="37600"/>
  </r>
  <r>
    <x v="797"/>
    <x v="13"/>
    <x v="1"/>
    <x v="3"/>
    <n v="79"/>
    <n v="820"/>
    <n v="64780"/>
  </r>
  <r>
    <x v="824"/>
    <x v="13"/>
    <x v="4"/>
    <x v="4"/>
    <n v="31"/>
    <n v="450"/>
    <n v="13950"/>
  </r>
  <r>
    <x v="825"/>
    <x v="13"/>
    <x v="1"/>
    <x v="2"/>
    <n v="10"/>
    <n v="800"/>
    <n v="8000"/>
  </r>
  <r>
    <x v="826"/>
    <x v="13"/>
    <x v="1"/>
    <x v="3"/>
    <n v="3"/>
    <n v="820"/>
    <n v="2460"/>
  </r>
  <r>
    <x v="827"/>
    <x v="13"/>
    <x v="5"/>
    <x v="1"/>
    <n v="129"/>
    <n v="1200"/>
    <n v="154800"/>
  </r>
  <r>
    <x v="504"/>
    <x v="13"/>
    <x v="0"/>
    <x v="3"/>
    <n v="2"/>
    <n v="820"/>
    <n v="1640"/>
  </r>
  <r>
    <x v="828"/>
    <x v="13"/>
    <x v="1"/>
    <x v="3"/>
    <n v="2"/>
    <n v="950"/>
    <n v="1900"/>
  </r>
  <r>
    <x v="829"/>
    <x v="13"/>
    <x v="2"/>
    <x v="1"/>
    <n v="9"/>
    <n v="1200"/>
    <n v="10800"/>
  </r>
  <r>
    <x v="15"/>
    <x v="13"/>
    <x v="2"/>
    <x v="0"/>
    <n v="17"/>
    <n v="650"/>
    <n v="11050"/>
  </r>
  <r>
    <x v="830"/>
    <x v="13"/>
    <x v="4"/>
    <x v="0"/>
    <n v="39"/>
    <n v="650"/>
    <n v="25350"/>
  </r>
  <r>
    <x v="69"/>
    <x v="13"/>
    <x v="2"/>
    <x v="3"/>
    <n v="13"/>
    <n v="820"/>
    <n v="10660"/>
  </r>
  <r>
    <x v="831"/>
    <x v="13"/>
    <x v="0"/>
    <x v="2"/>
    <n v="28"/>
    <n v="800"/>
    <n v="22400"/>
  </r>
  <r>
    <x v="832"/>
    <x v="13"/>
    <x v="1"/>
    <x v="0"/>
    <n v="30"/>
    <n v="650"/>
    <n v="19500"/>
  </r>
  <r>
    <x v="833"/>
    <x v="13"/>
    <x v="3"/>
    <x v="2"/>
    <n v="3"/>
    <n v="800"/>
    <n v="2400"/>
  </r>
  <r>
    <x v="834"/>
    <x v="13"/>
    <x v="2"/>
    <x v="3"/>
    <n v="6"/>
    <n v="950"/>
    <n v="5700"/>
  </r>
  <r>
    <x v="509"/>
    <x v="13"/>
    <x v="4"/>
    <x v="3"/>
    <n v="41"/>
    <n v="950"/>
    <n v="38950"/>
  </r>
  <r>
    <x v="487"/>
    <x v="13"/>
    <x v="0"/>
    <x v="2"/>
    <n v="8"/>
    <n v="800"/>
    <n v="6400"/>
  </r>
  <r>
    <x v="835"/>
    <x v="13"/>
    <x v="5"/>
    <x v="0"/>
    <n v="82"/>
    <n v="650"/>
    <n v="53300"/>
  </r>
  <r>
    <x v="682"/>
    <x v="13"/>
    <x v="5"/>
    <x v="3"/>
    <n v="44"/>
    <n v="820"/>
    <n v="36080"/>
  </r>
  <r>
    <x v="836"/>
    <x v="13"/>
    <x v="2"/>
    <x v="4"/>
    <n v="4"/>
    <n v="450"/>
    <n v="1800"/>
  </r>
  <r>
    <x v="197"/>
    <x v="13"/>
    <x v="4"/>
    <x v="2"/>
    <n v="12"/>
    <n v="800"/>
    <n v="9600"/>
  </r>
  <r>
    <x v="837"/>
    <x v="13"/>
    <x v="3"/>
    <x v="3"/>
    <n v="13"/>
    <n v="950"/>
    <n v="12350"/>
  </r>
  <r>
    <x v="261"/>
    <x v="13"/>
    <x v="5"/>
    <x v="3"/>
    <n v="107"/>
    <n v="820"/>
    <n v="87740"/>
  </r>
  <r>
    <x v="838"/>
    <x v="13"/>
    <x v="4"/>
    <x v="3"/>
    <n v="273"/>
    <n v="950"/>
    <n v="259350"/>
  </r>
  <r>
    <x v="736"/>
    <x v="13"/>
    <x v="1"/>
    <x v="2"/>
    <n v="29"/>
    <n v="800"/>
    <n v="23200"/>
  </r>
  <r>
    <x v="839"/>
    <x v="13"/>
    <x v="2"/>
    <x v="3"/>
    <n v="22"/>
    <n v="820"/>
    <n v="18040"/>
  </r>
  <r>
    <x v="840"/>
    <x v="13"/>
    <x v="2"/>
    <x v="3"/>
    <n v="22"/>
    <n v="950"/>
    <n v="20900"/>
  </r>
  <r>
    <x v="344"/>
    <x v="13"/>
    <x v="0"/>
    <x v="4"/>
    <n v="33"/>
    <n v="450"/>
    <n v="14850"/>
  </r>
  <r>
    <x v="266"/>
    <x v="13"/>
    <x v="0"/>
    <x v="3"/>
    <n v="48"/>
    <n v="820"/>
    <n v="39360"/>
  </r>
  <r>
    <x v="522"/>
    <x v="13"/>
    <x v="4"/>
    <x v="2"/>
    <n v="115"/>
    <n v="800"/>
    <n v="92000"/>
  </r>
  <r>
    <x v="841"/>
    <x v="13"/>
    <x v="1"/>
    <x v="2"/>
    <n v="34"/>
    <n v="800"/>
    <n v="27200"/>
  </r>
  <r>
    <x v="842"/>
    <x v="13"/>
    <x v="0"/>
    <x v="3"/>
    <n v="24"/>
    <n v="950"/>
    <n v="22800"/>
  </r>
  <r>
    <x v="402"/>
    <x v="13"/>
    <x v="5"/>
    <x v="2"/>
    <n v="134"/>
    <n v="800"/>
    <n v="107200"/>
  </r>
  <r>
    <x v="772"/>
    <x v="13"/>
    <x v="5"/>
    <x v="0"/>
    <n v="149"/>
    <n v="650"/>
    <n v="96850"/>
  </r>
  <r>
    <x v="62"/>
    <x v="13"/>
    <x v="0"/>
    <x v="2"/>
    <n v="6"/>
    <n v="800"/>
    <n v="4800"/>
  </r>
  <r>
    <x v="707"/>
    <x v="13"/>
    <x v="1"/>
    <x v="3"/>
    <n v="19"/>
    <n v="820"/>
    <n v="15580"/>
  </r>
  <r>
    <x v="577"/>
    <x v="13"/>
    <x v="0"/>
    <x v="0"/>
    <n v="41"/>
    <n v="650"/>
    <n v="26650"/>
  </r>
  <r>
    <x v="281"/>
    <x v="13"/>
    <x v="2"/>
    <x v="4"/>
    <n v="11"/>
    <n v="450"/>
    <n v="4950"/>
  </r>
  <r>
    <x v="3"/>
    <x v="13"/>
    <x v="5"/>
    <x v="3"/>
    <n v="123"/>
    <n v="950"/>
    <n v="116850"/>
  </r>
  <r>
    <x v="251"/>
    <x v="13"/>
    <x v="2"/>
    <x v="3"/>
    <n v="4"/>
    <n v="820"/>
    <n v="3280"/>
  </r>
  <r>
    <x v="544"/>
    <x v="13"/>
    <x v="3"/>
    <x v="1"/>
    <n v="151"/>
    <n v="1200"/>
    <n v="181200"/>
  </r>
  <r>
    <x v="843"/>
    <x v="13"/>
    <x v="2"/>
    <x v="1"/>
    <n v="16"/>
    <n v="1200"/>
    <n v="19200"/>
  </r>
  <r>
    <x v="840"/>
    <x v="13"/>
    <x v="3"/>
    <x v="3"/>
    <n v="15"/>
    <n v="820"/>
    <n v="12300"/>
  </r>
  <r>
    <x v="721"/>
    <x v="13"/>
    <x v="0"/>
    <x v="2"/>
    <n v="41"/>
    <n v="800"/>
    <n v="32800"/>
  </r>
  <r>
    <x v="419"/>
    <x v="13"/>
    <x v="0"/>
    <x v="4"/>
    <n v="58"/>
    <n v="450"/>
    <n v="26100"/>
  </r>
  <r>
    <x v="844"/>
    <x v="13"/>
    <x v="0"/>
    <x v="2"/>
    <n v="2"/>
    <n v="800"/>
    <n v="1600"/>
  </r>
  <r>
    <x v="845"/>
    <x v="13"/>
    <x v="2"/>
    <x v="0"/>
    <n v="1"/>
    <n v="650"/>
    <n v="650"/>
  </r>
  <r>
    <x v="846"/>
    <x v="13"/>
    <x v="2"/>
    <x v="0"/>
    <n v="7"/>
    <n v="650"/>
    <n v="4550"/>
  </r>
  <r>
    <x v="847"/>
    <x v="13"/>
    <x v="5"/>
    <x v="2"/>
    <n v="78"/>
    <n v="800"/>
    <n v="62400"/>
  </r>
  <r>
    <x v="848"/>
    <x v="13"/>
    <x v="4"/>
    <x v="3"/>
    <n v="27"/>
    <n v="950"/>
    <n v="25650"/>
  </r>
  <r>
    <x v="849"/>
    <x v="13"/>
    <x v="2"/>
    <x v="3"/>
    <n v="11"/>
    <n v="820"/>
    <n v="9020"/>
  </r>
  <r>
    <x v="850"/>
    <x v="13"/>
    <x v="2"/>
    <x v="1"/>
    <n v="14"/>
    <n v="1200"/>
    <n v="16800"/>
  </r>
  <r>
    <x v="851"/>
    <x v="13"/>
    <x v="0"/>
    <x v="3"/>
    <n v="71"/>
    <n v="820"/>
    <n v="58220"/>
  </r>
  <r>
    <x v="852"/>
    <x v="13"/>
    <x v="2"/>
    <x v="3"/>
    <n v="11"/>
    <n v="820"/>
    <n v="9020"/>
  </r>
  <r>
    <x v="853"/>
    <x v="13"/>
    <x v="0"/>
    <x v="2"/>
    <n v="23"/>
    <n v="800"/>
    <n v="18400"/>
  </r>
  <r>
    <x v="854"/>
    <x v="13"/>
    <x v="4"/>
    <x v="2"/>
    <n v="93"/>
    <n v="800"/>
    <n v="74400"/>
  </r>
  <r>
    <x v="855"/>
    <x v="13"/>
    <x v="0"/>
    <x v="4"/>
    <n v="26"/>
    <n v="450"/>
    <n v="11700"/>
  </r>
  <r>
    <x v="856"/>
    <x v="13"/>
    <x v="2"/>
    <x v="3"/>
    <n v="2"/>
    <n v="820"/>
    <n v="1640"/>
  </r>
  <r>
    <x v="10"/>
    <x v="13"/>
    <x v="4"/>
    <x v="4"/>
    <n v="88"/>
    <n v="450"/>
    <n v="39600"/>
  </r>
  <r>
    <x v="857"/>
    <x v="13"/>
    <x v="0"/>
    <x v="4"/>
    <n v="96"/>
    <n v="450"/>
    <n v="43200"/>
  </r>
  <r>
    <x v="80"/>
    <x v="13"/>
    <x v="1"/>
    <x v="0"/>
    <n v="3"/>
    <n v="650"/>
    <n v="1950"/>
  </r>
  <r>
    <x v="858"/>
    <x v="13"/>
    <x v="2"/>
    <x v="3"/>
    <n v="20"/>
    <n v="950"/>
    <n v="19000"/>
  </r>
  <r>
    <x v="859"/>
    <x v="14"/>
    <x v="0"/>
    <x v="2"/>
    <n v="1"/>
    <n v="800"/>
    <n v="800"/>
  </r>
  <r>
    <x v="37"/>
    <x v="14"/>
    <x v="1"/>
    <x v="1"/>
    <n v="57"/>
    <n v="1200"/>
    <n v="68400"/>
  </r>
  <r>
    <x v="860"/>
    <x v="14"/>
    <x v="5"/>
    <x v="2"/>
    <n v="63"/>
    <n v="800"/>
    <n v="50400"/>
  </r>
  <r>
    <x v="861"/>
    <x v="14"/>
    <x v="3"/>
    <x v="3"/>
    <n v="148"/>
    <n v="950"/>
    <n v="140600"/>
  </r>
  <r>
    <x v="613"/>
    <x v="14"/>
    <x v="2"/>
    <x v="1"/>
    <n v="10"/>
    <n v="1200"/>
    <n v="12000"/>
  </r>
  <r>
    <x v="193"/>
    <x v="14"/>
    <x v="1"/>
    <x v="1"/>
    <n v="95"/>
    <n v="1200"/>
    <n v="114000"/>
  </r>
  <r>
    <x v="862"/>
    <x v="14"/>
    <x v="1"/>
    <x v="2"/>
    <n v="18"/>
    <n v="800"/>
    <n v="14400"/>
  </r>
  <r>
    <x v="863"/>
    <x v="14"/>
    <x v="0"/>
    <x v="1"/>
    <n v="19"/>
    <n v="1200"/>
    <n v="22800"/>
  </r>
  <r>
    <x v="478"/>
    <x v="14"/>
    <x v="3"/>
    <x v="1"/>
    <n v="50"/>
    <n v="1200"/>
    <n v="60000"/>
  </r>
  <r>
    <x v="667"/>
    <x v="14"/>
    <x v="3"/>
    <x v="3"/>
    <n v="54"/>
    <n v="820"/>
    <n v="44280"/>
  </r>
  <r>
    <x v="472"/>
    <x v="14"/>
    <x v="5"/>
    <x v="1"/>
    <n v="35"/>
    <n v="1200"/>
    <n v="42000"/>
  </r>
  <r>
    <x v="864"/>
    <x v="14"/>
    <x v="3"/>
    <x v="4"/>
    <n v="27"/>
    <n v="450"/>
    <n v="12150"/>
  </r>
  <r>
    <x v="865"/>
    <x v="14"/>
    <x v="3"/>
    <x v="1"/>
    <n v="141"/>
    <n v="1200"/>
    <n v="169200"/>
  </r>
  <r>
    <x v="150"/>
    <x v="14"/>
    <x v="5"/>
    <x v="4"/>
    <n v="3"/>
    <n v="450"/>
    <n v="1350"/>
  </r>
  <r>
    <x v="866"/>
    <x v="14"/>
    <x v="5"/>
    <x v="0"/>
    <n v="186"/>
    <n v="650"/>
    <n v="120900"/>
  </r>
  <r>
    <x v="867"/>
    <x v="14"/>
    <x v="0"/>
    <x v="3"/>
    <n v="3"/>
    <n v="950"/>
    <n v="2850"/>
  </r>
  <r>
    <x v="642"/>
    <x v="14"/>
    <x v="5"/>
    <x v="3"/>
    <n v="4"/>
    <n v="950"/>
    <n v="3800"/>
  </r>
  <r>
    <x v="826"/>
    <x v="14"/>
    <x v="0"/>
    <x v="2"/>
    <n v="3"/>
    <n v="800"/>
    <n v="2400"/>
  </r>
  <r>
    <x v="576"/>
    <x v="14"/>
    <x v="4"/>
    <x v="1"/>
    <n v="151"/>
    <n v="1200"/>
    <n v="181200"/>
  </r>
  <r>
    <x v="674"/>
    <x v="14"/>
    <x v="0"/>
    <x v="1"/>
    <n v="75"/>
    <n v="1200"/>
    <n v="90000"/>
  </r>
  <r>
    <x v="868"/>
    <x v="14"/>
    <x v="3"/>
    <x v="0"/>
    <n v="38"/>
    <n v="650"/>
    <n v="24700"/>
  </r>
  <r>
    <x v="869"/>
    <x v="14"/>
    <x v="1"/>
    <x v="2"/>
    <n v="9"/>
    <n v="800"/>
    <n v="7200"/>
  </r>
  <r>
    <x v="870"/>
    <x v="14"/>
    <x v="2"/>
    <x v="3"/>
    <n v="18"/>
    <n v="820"/>
    <n v="14760"/>
  </r>
  <r>
    <x v="871"/>
    <x v="14"/>
    <x v="1"/>
    <x v="4"/>
    <n v="35"/>
    <n v="450"/>
    <n v="15750"/>
  </r>
  <r>
    <x v="98"/>
    <x v="14"/>
    <x v="5"/>
    <x v="4"/>
    <n v="107"/>
    <n v="450"/>
    <n v="48150"/>
  </r>
  <r>
    <x v="709"/>
    <x v="14"/>
    <x v="3"/>
    <x v="4"/>
    <n v="6"/>
    <n v="450"/>
    <n v="2700"/>
  </r>
  <r>
    <x v="505"/>
    <x v="14"/>
    <x v="5"/>
    <x v="3"/>
    <n v="121"/>
    <n v="950"/>
    <n v="114950"/>
  </r>
  <r>
    <x v="872"/>
    <x v="14"/>
    <x v="3"/>
    <x v="2"/>
    <n v="112"/>
    <n v="800"/>
    <n v="89600"/>
  </r>
  <r>
    <x v="256"/>
    <x v="14"/>
    <x v="2"/>
    <x v="3"/>
    <n v="16"/>
    <n v="950"/>
    <n v="15200"/>
  </r>
  <r>
    <x v="1"/>
    <x v="14"/>
    <x v="4"/>
    <x v="3"/>
    <n v="202"/>
    <n v="820"/>
    <n v="165640"/>
  </r>
  <r>
    <x v="873"/>
    <x v="14"/>
    <x v="3"/>
    <x v="1"/>
    <n v="139"/>
    <n v="1200"/>
    <n v="166800"/>
  </r>
  <r>
    <x v="874"/>
    <x v="14"/>
    <x v="3"/>
    <x v="3"/>
    <n v="9"/>
    <n v="820"/>
    <n v="7380"/>
  </r>
  <r>
    <x v="875"/>
    <x v="14"/>
    <x v="3"/>
    <x v="4"/>
    <n v="32"/>
    <n v="450"/>
    <n v="14400"/>
  </r>
  <r>
    <x v="60"/>
    <x v="14"/>
    <x v="3"/>
    <x v="3"/>
    <n v="39"/>
    <n v="820"/>
    <n v="31980"/>
  </r>
  <r>
    <x v="876"/>
    <x v="14"/>
    <x v="0"/>
    <x v="0"/>
    <n v="111"/>
    <n v="650"/>
    <n v="72150"/>
  </r>
  <r>
    <x v="687"/>
    <x v="14"/>
    <x v="4"/>
    <x v="3"/>
    <n v="241"/>
    <n v="820"/>
    <n v="197620"/>
  </r>
  <r>
    <x v="108"/>
    <x v="14"/>
    <x v="2"/>
    <x v="2"/>
    <n v="31"/>
    <n v="800"/>
    <n v="24800"/>
  </r>
  <r>
    <x v="877"/>
    <x v="14"/>
    <x v="0"/>
    <x v="2"/>
    <n v="37"/>
    <n v="800"/>
    <n v="29600"/>
  </r>
  <r>
    <x v="878"/>
    <x v="14"/>
    <x v="1"/>
    <x v="1"/>
    <n v="53"/>
    <n v="1200"/>
    <n v="63600"/>
  </r>
  <r>
    <x v="879"/>
    <x v="14"/>
    <x v="3"/>
    <x v="4"/>
    <n v="54"/>
    <n v="450"/>
    <n v="24300"/>
  </r>
  <r>
    <x v="444"/>
    <x v="14"/>
    <x v="4"/>
    <x v="3"/>
    <n v="125"/>
    <n v="820"/>
    <n v="102500"/>
  </r>
  <r>
    <x v="335"/>
    <x v="14"/>
    <x v="5"/>
    <x v="2"/>
    <n v="75"/>
    <n v="800"/>
    <n v="60000"/>
  </r>
  <r>
    <x v="880"/>
    <x v="14"/>
    <x v="2"/>
    <x v="1"/>
    <n v="16"/>
    <n v="1200"/>
    <n v="19200"/>
  </r>
  <r>
    <x v="134"/>
    <x v="14"/>
    <x v="0"/>
    <x v="2"/>
    <n v="116"/>
    <n v="800"/>
    <n v="92800"/>
  </r>
  <r>
    <x v="881"/>
    <x v="14"/>
    <x v="3"/>
    <x v="0"/>
    <n v="74"/>
    <n v="650"/>
    <n v="48100"/>
  </r>
  <r>
    <x v="389"/>
    <x v="14"/>
    <x v="0"/>
    <x v="1"/>
    <n v="33"/>
    <n v="1200"/>
    <n v="39600"/>
  </r>
  <r>
    <x v="882"/>
    <x v="14"/>
    <x v="4"/>
    <x v="2"/>
    <n v="42"/>
    <n v="800"/>
    <n v="33600"/>
  </r>
  <r>
    <x v="883"/>
    <x v="14"/>
    <x v="4"/>
    <x v="1"/>
    <n v="6"/>
    <n v="1200"/>
    <n v="7200"/>
  </r>
  <r>
    <x v="884"/>
    <x v="14"/>
    <x v="1"/>
    <x v="0"/>
    <n v="42"/>
    <n v="650"/>
    <n v="27300"/>
  </r>
  <r>
    <x v="885"/>
    <x v="14"/>
    <x v="3"/>
    <x v="3"/>
    <n v="1"/>
    <n v="950"/>
    <n v="950"/>
  </r>
  <r>
    <x v="275"/>
    <x v="14"/>
    <x v="1"/>
    <x v="2"/>
    <n v="48"/>
    <n v="800"/>
    <n v="38400"/>
  </r>
  <r>
    <x v="440"/>
    <x v="14"/>
    <x v="4"/>
    <x v="4"/>
    <n v="46"/>
    <n v="450"/>
    <n v="20700"/>
  </r>
  <r>
    <x v="284"/>
    <x v="14"/>
    <x v="5"/>
    <x v="0"/>
    <n v="27"/>
    <n v="650"/>
    <n v="17550"/>
  </r>
  <r>
    <x v="886"/>
    <x v="14"/>
    <x v="3"/>
    <x v="0"/>
    <n v="72"/>
    <n v="650"/>
    <n v="46800"/>
  </r>
  <r>
    <x v="21"/>
    <x v="14"/>
    <x v="1"/>
    <x v="2"/>
    <n v="8"/>
    <n v="800"/>
    <n v="6400"/>
  </r>
  <r>
    <x v="887"/>
    <x v="14"/>
    <x v="4"/>
    <x v="4"/>
    <n v="28"/>
    <n v="450"/>
    <n v="12600"/>
  </r>
  <r>
    <x v="888"/>
    <x v="14"/>
    <x v="4"/>
    <x v="4"/>
    <n v="116"/>
    <n v="450"/>
    <n v="52200"/>
  </r>
  <r>
    <x v="889"/>
    <x v="15"/>
    <x v="4"/>
    <x v="2"/>
    <n v="56"/>
    <n v="800"/>
    <n v="44800"/>
  </r>
  <r>
    <x v="890"/>
    <x v="15"/>
    <x v="4"/>
    <x v="2"/>
    <n v="99"/>
    <n v="800"/>
    <n v="79200"/>
  </r>
  <r>
    <x v="891"/>
    <x v="15"/>
    <x v="1"/>
    <x v="2"/>
    <n v="47"/>
    <n v="800"/>
    <n v="37600"/>
  </r>
  <r>
    <x v="892"/>
    <x v="15"/>
    <x v="4"/>
    <x v="1"/>
    <n v="47"/>
    <n v="1200"/>
    <n v="56400"/>
  </r>
  <r>
    <x v="609"/>
    <x v="15"/>
    <x v="3"/>
    <x v="2"/>
    <n v="91"/>
    <n v="800"/>
    <n v="72800"/>
  </r>
  <r>
    <x v="445"/>
    <x v="15"/>
    <x v="2"/>
    <x v="0"/>
    <n v="1"/>
    <n v="650"/>
    <n v="650"/>
  </r>
  <r>
    <x v="34"/>
    <x v="15"/>
    <x v="4"/>
    <x v="1"/>
    <n v="57"/>
    <n v="1200"/>
    <n v="68400"/>
  </r>
  <r>
    <x v="5"/>
    <x v="15"/>
    <x v="1"/>
    <x v="2"/>
    <n v="50"/>
    <n v="800"/>
    <n v="40000"/>
  </r>
  <r>
    <x v="893"/>
    <x v="15"/>
    <x v="3"/>
    <x v="3"/>
    <n v="1"/>
    <n v="950"/>
    <n v="950"/>
  </r>
  <r>
    <x v="894"/>
    <x v="15"/>
    <x v="1"/>
    <x v="3"/>
    <n v="15"/>
    <n v="820"/>
    <n v="12300"/>
  </r>
  <r>
    <x v="895"/>
    <x v="15"/>
    <x v="1"/>
    <x v="2"/>
    <n v="6"/>
    <n v="800"/>
    <n v="4800"/>
  </r>
  <r>
    <x v="896"/>
    <x v="15"/>
    <x v="4"/>
    <x v="2"/>
    <n v="24"/>
    <n v="800"/>
    <n v="19200"/>
  </r>
  <r>
    <x v="897"/>
    <x v="15"/>
    <x v="5"/>
    <x v="0"/>
    <n v="61"/>
    <n v="650"/>
    <n v="39650"/>
  </r>
  <r>
    <x v="898"/>
    <x v="15"/>
    <x v="5"/>
    <x v="4"/>
    <n v="225"/>
    <n v="450"/>
    <n v="101250"/>
  </r>
  <r>
    <x v="899"/>
    <x v="15"/>
    <x v="0"/>
    <x v="0"/>
    <n v="49"/>
    <n v="650"/>
    <n v="31850"/>
  </r>
  <r>
    <x v="900"/>
    <x v="15"/>
    <x v="0"/>
    <x v="2"/>
    <n v="18"/>
    <n v="800"/>
    <n v="14400"/>
  </r>
  <r>
    <x v="58"/>
    <x v="15"/>
    <x v="1"/>
    <x v="2"/>
    <n v="9"/>
    <n v="800"/>
    <n v="7200"/>
  </r>
  <r>
    <x v="901"/>
    <x v="15"/>
    <x v="5"/>
    <x v="2"/>
    <n v="175"/>
    <n v="800"/>
    <n v="140000"/>
  </r>
  <r>
    <x v="902"/>
    <x v="15"/>
    <x v="5"/>
    <x v="2"/>
    <n v="64"/>
    <n v="800"/>
    <n v="51200"/>
  </r>
  <r>
    <x v="903"/>
    <x v="15"/>
    <x v="2"/>
    <x v="3"/>
    <n v="22"/>
    <n v="820"/>
    <n v="18040"/>
  </r>
  <r>
    <x v="904"/>
    <x v="15"/>
    <x v="2"/>
    <x v="3"/>
    <n v="13"/>
    <n v="950"/>
    <n v="12350"/>
  </r>
  <r>
    <x v="905"/>
    <x v="15"/>
    <x v="3"/>
    <x v="1"/>
    <n v="39"/>
    <n v="1200"/>
    <n v="46800"/>
  </r>
  <r>
    <x v="854"/>
    <x v="15"/>
    <x v="2"/>
    <x v="3"/>
    <n v="9"/>
    <n v="950"/>
    <n v="8550"/>
  </r>
  <r>
    <x v="404"/>
    <x v="15"/>
    <x v="5"/>
    <x v="3"/>
    <n v="32"/>
    <n v="820"/>
    <n v="26240"/>
  </r>
  <r>
    <x v="100"/>
    <x v="15"/>
    <x v="2"/>
    <x v="3"/>
    <n v="4"/>
    <n v="820"/>
    <n v="3280"/>
  </r>
  <r>
    <x v="183"/>
    <x v="15"/>
    <x v="3"/>
    <x v="1"/>
    <n v="27"/>
    <n v="1200"/>
    <n v="32400"/>
  </r>
  <r>
    <x v="906"/>
    <x v="15"/>
    <x v="5"/>
    <x v="2"/>
    <n v="219"/>
    <n v="800"/>
    <n v="175200"/>
  </r>
  <r>
    <x v="907"/>
    <x v="15"/>
    <x v="1"/>
    <x v="2"/>
    <n v="1"/>
    <n v="800"/>
    <n v="800"/>
  </r>
  <r>
    <x v="123"/>
    <x v="15"/>
    <x v="3"/>
    <x v="2"/>
    <n v="14"/>
    <n v="800"/>
    <n v="11200"/>
  </r>
  <r>
    <x v="908"/>
    <x v="15"/>
    <x v="2"/>
    <x v="3"/>
    <n v="9"/>
    <n v="820"/>
    <n v="7380"/>
  </r>
  <r>
    <x v="909"/>
    <x v="15"/>
    <x v="2"/>
    <x v="3"/>
    <n v="16"/>
    <n v="950"/>
    <n v="15200"/>
  </r>
  <r>
    <x v="910"/>
    <x v="15"/>
    <x v="4"/>
    <x v="2"/>
    <n v="54"/>
    <n v="800"/>
    <n v="43200"/>
  </r>
  <r>
    <x v="223"/>
    <x v="15"/>
    <x v="1"/>
    <x v="3"/>
    <n v="3"/>
    <n v="820"/>
    <n v="2460"/>
  </r>
  <r>
    <x v="130"/>
    <x v="15"/>
    <x v="0"/>
    <x v="3"/>
    <n v="43"/>
    <n v="950"/>
    <n v="40850"/>
  </r>
  <r>
    <x v="911"/>
    <x v="15"/>
    <x v="4"/>
    <x v="2"/>
    <n v="52"/>
    <n v="800"/>
    <n v="41600"/>
  </r>
  <r>
    <x v="338"/>
    <x v="15"/>
    <x v="4"/>
    <x v="3"/>
    <n v="41"/>
    <n v="820"/>
    <n v="33620"/>
  </r>
  <r>
    <x v="912"/>
    <x v="15"/>
    <x v="3"/>
    <x v="1"/>
    <n v="40"/>
    <n v="1200"/>
    <n v="48000"/>
  </r>
  <r>
    <x v="55"/>
    <x v="15"/>
    <x v="3"/>
    <x v="3"/>
    <n v="112"/>
    <n v="950"/>
    <n v="106400"/>
  </r>
  <r>
    <x v="913"/>
    <x v="15"/>
    <x v="1"/>
    <x v="0"/>
    <n v="31"/>
    <n v="650"/>
    <n v="20150"/>
  </r>
  <r>
    <x v="914"/>
    <x v="15"/>
    <x v="5"/>
    <x v="2"/>
    <n v="82"/>
    <n v="800"/>
    <n v="65600"/>
  </r>
  <r>
    <x v="915"/>
    <x v="15"/>
    <x v="4"/>
    <x v="2"/>
    <n v="76"/>
    <n v="800"/>
    <n v="60800"/>
  </r>
  <r>
    <x v="737"/>
    <x v="15"/>
    <x v="1"/>
    <x v="1"/>
    <n v="27"/>
    <n v="1200"/>
    <n v="32400"/>
  </r>
  <r>
    <x v="548"/>
    <x v="15"/>
    <x v="0"/>
    <x v="0"/>
    <n v="8"/>
    <n v="650"/>
    <n v="5200"/>
  </r>
  <r>
    <x v="916"/>
    <x v="15"/>
    <x v="5"/>
    <x v="3"/>
    <n v="2"/>
    <n v="820"/>
    <n v="1640"/>
  </r>
  <r>
    <x v="777"/>
    <x v="15"/>
    <x v="1"/>
    <x v="2"/>
    <n v="19"/>
    <n v="800"/>
    <n v="15200"/>
  </r>
  <r>
    <x v="917"/>
    <x v="15"/>
    <x v="3"/>
    <x v="4"/>
    <n v="85"/>
    <n v="450"/>
    <n v="38250"/>
  </r>
  <r>
    <x v="366"/>
    <x v="15"/>
    <x v="4"/>
    <x v="0"/>
    <n v="47"/>
    <n v="650"/>
    <n v="30550"/>
  </r>
  <r>
    <x v="860"/>
    <x v="15"/>
    <x v="4"/>
    <x v="4"/>
    <n v="140"/>
    <n v="450"/>
    <n v="63000"/>
  </r>
  <r>
    <x v="553"/>
    <x v="15"/>
    <x v="5"/>
    <x v="3"/>
    <n v="116"/>
    <n v="820"/>
    <n v="95120"/>
  </r>
  <r>
    <x v="611"/>
    <x v="15"/>
    <x v="0"/>
    <x v="3"/>
    <n v="11"/>
    <n v="820"/>
    <n v="9020"/>
  </r>
  <r>
    <x v="469"/>
    <x v="15"/>
    <x v="0"/>
    <x v="0"/>
    <n v="70"/>
    <n v="650"/>
    <n v="45500"/>
  </r>
  <r>
    <x v="918"/>
    <x v="15"/>
    <x v="0"/>
    <x v="3"/>
    <n v="60"/>
    <n v="950"/>
    <n v="57000"/>
  </r>
  <r>
    <x v="844"/>
    <x v="15"/>
    <x v="5"/>
    <x v="3"/>
    <n v="137"/>
    <n v="820"/>
    <n v="112340"/>
  </r>
  <r>
    <x v="919"/>
    <x v="15"/>
    <x v="3"/>
    <x v="0"/>
    <n v="154"/>
    <n v="650"/>
    <n v="100100"/>
  </r>
  <r>
    <x v="920"/>
    <x v="15"/>
    <x v="1"/>
    <x v="3"/>
    <n v="2"/>
    <n v="820"/>
    <n v="1640"/>
  </r>
  <r>
    <x v="921"/>
    <x v="15"/>
    <x v="4"/>
    <x v="2"/>
    <n v="19"/>
    <n v="800"/>
    <n v="15200"/>
  </r>
  <r>
    <x v="922"/>
    <x v="15"/>
    <x v="1"/>
    <x v="2"/>
    <n v="15"/>
    <n v="800"/>
    <n v="12000"/>
  </r>
  <r>
    <x v="324"/>
    <x v="15"/>
    <x v="0"/>
    <x v="2"/>
    <n v="34"/>
    <n v="800"/>
    <n v="27200"/>
  </r>
  <r>
    <x v="903"/>
    <x v="15"/>
    <x v="2"/>
    <x v="3"/>
    <n v="2"/>
    <n v="820"/>
    <n v="1640"/>
  </r>
  <r>
    <x v="852"/>
    <x v="15"/>
    <x v="4"/>
    <x v="2"/>
    <n v="165"/>
    <n v="800"/>
    <n v="132000"/>
  </r>
  <r>
    <x v="923"/>
    <x v="15"/>
    <x v="0"/>
    <x v="0"/>
    <n v="85"/>
    <n v="650"/>
    <n v="55250"/>
  </r>
  <r>
    <x v="924"/>
    <x v="16"/>
    <x v="1"/>
    <x v="1"/>
    <n v="7"/>
    <n v="1200"/>
    <n v="8400"/>
  </r>
  <r>
    <x v="925"/>
    <x v="16"/>
    <x v="1"/>
    <x v="2"/>
    <n v="63"/>
    <n v="800"/>
    <n v="50400"/>
  </r>
  <r>
    <x v="291"/>
    <x v="16"/>
    <x v="5"/>
    <x v="3"/>
    <n v="39"/>
    <n v="820"/>
    <n v="31980"/>
  </r>
  <r>
    <x v="926"/>
    <x v="16"/>
    <x v="5"/>
    <x v="2"/>
    <n v="140"/>
    <n v="800"/>
    <n v="112000"/>
  </r>
  <r>
    <x v="927"/>
    <x v="16"/>
    <x v="0"/>
    <x v="4"/>
    <n v="70"/>
    <n v="450"/>
    <n v="31500"/>
  </r>
  <r>
    <x v="395"/>
    <x v="16"/>
    <x v="2"/>
    <x v="3"/>
    <n v="4"/>
    <n v="950"/>
    <n v="3800"/>
  </r>
  <r>
    <x v="928"/>
    <x v="16"/>
    <x v="1"/>
    <x v="3"/>
    <n v="5"/>
    <n v="820"/>
    <n v="4100"/>
  </r>
  <r>
    <x v="929"/>
    <x v="16"/>
    <x v="5"/>
    <x v="2"/>
    <n v="124"/>
    <n v="800"/>
    <n v="99200"/>
  </r>
  <r>
    <x v="930"/>
    <x v="16"/>
    <x v="0"/>
    <x v="4"/>
    <n v="59"/>
    <n v="450"/>
    <n v="26550"/>
  </r>
  <r>
    <x v="931"/>
    <x v="16"/>
    <x v="4"/>
    <x v="0"/>
    <n v="234"/>
    <n v="650"/>
    <n v="152100"/>
  </r>
  <r>
    <x v="932"/>
    <x v="16"/>
    <x v="2"/>
    <x v="2"/>
    <n v="13"/>
    <n v="800"/>
    <n v="10400"/>
  </r>
  <r>
    <x v="729"/>
    <x v="16"/>
    <x v="0"/>
    <x v="3"/>
    <n v="2"/>
    <n v="820"/>
    <n v="1640"/>
  </r>
  <r>
    <x v="933"/>
    <x v="16"/>
    <x v="1"/>
    <x v="3"/>
    <n v="23"/>
    <n v="820"/>
    <n v="18860"/>
  </r>
  <r>
    <x v="903"/>
    <x v="16"/>
    <x v="2"/>
    <x v="3"/>
    <n v="6"/>
    <n v="950"/>
    <n v="5700"/>
  </r>
  <r>
    <x v="643"/>
    <x v="16"/>
    <x v="5"/>
    <x v="3"/>
    <n v="98"/>
    <n v="820"/>
    <n v="80360"/>
  </r>
  <r>
    <x v="568"/>
    <x v="16"/>
    <x v="3"/>
    <x v="3"/>
    <n v="111"/>
    <n v="950"/>
    <n v="105450"/>
  </r>
  <r>
    <x v="917"/>
    <x v="16"/>
    <x v="2"/>
    <x v="1"/>
    <n v="14"/>
    <n v="1200"/>
    <n v="16800"/>
  </r>
  <r>
    <x v="934"/>
    <x v="16"/>
    <x v="3"/>
    <x v="0"/>
    <n v="50"/>
    <n v="650"/>
    <n v="32500"/>
  </r>
  <r>
    <x v="935"/>
    <x v="16"/>
    <x v="2"/>
    <x v="2"/>
    <n v="1"/>
    <n v="800"/>
    <n v="800"/>
  </r>
  <r>
    <x v="610"/>
    <x v="16"/>
    <x v="2"/>
    <x v="3"/>
    <n v="2"/>
    <n v="950"/>
    <n v="1900"/>
  </r>
  <r>
    <x v="936"/>
    <x v="16"/>
    <x v="4"/>
    <x v="3"/>
    <n v="82"/>
    <n v="820"/>
    <n v="67240"/>
  </r>
  <r>
    <x v="937"/>
    <x v="16"/>
    <x v="0"/>
    <x v="2"/>
    <n v="19"/>
    <n v="800"/>
    <n v="15200"/>
  </r>
  <r>
    <x v="938"/>
    <x v="16"/>
    <x v="3"/>
    <x v="3"/>
    <n v="35"/>
    <n v="950"/>
    <n v="33250"/>
  </r>
  <r>
    <x v="939"/>
    <x v="16"/>
    <x v="5"/>
    <x v="2"/>
    <n v="86"/>
    <n v="800"/>
    <n v="68800"/>
  </r>
  <r>
    <x v="940"/>
    <x v="16"/>
    <x v="3"/>
    <x v="1"/>
    <n v="39"/>
    <n v="1200"/>
    <n v="46800"/>
  </r>
  <r>
    <x v="941"/>
    <x v="16"/>
    <x v="2"/>
    <x v="4"/>
    <n v="2"/>
    <n v="450"/>
    <n v="900"/>
  </r>
  <r>
    <x v="104"/>
    <x v="16"/>
    <x v="4"/>
    <x v="3"/>
    <n v="51"/>
    <n v="820"/>
    <n v="41820"/>
  </r>
  <r>
    <x v="942"/>
    <x v="16"/>
    <x v="0"/>
    <x v="1"/>
    <n v="135"/>
    <n v="1200"/>
    <n v="162000"/>
  </r>
  <r>
    <x v="210"/>
    <x v="16"/>
    <x v="3"/>
    <x v="2"/>
    <n v="112"/>
    <n v="800"/>
    <n v="89600"/>
  </r>
  <r>
    <x v="481"/>
    <x v="16"/>
    <x v="2"/>
    <x v="3"/>
    <n v="4"/>
    <n v="820"/>
    <n v="3280"/>
  </r>
  <r>
    <x v="526"/>
    <x v="16"/>
    <x v="5"/>
    <x v="4"/>
    <n v="65"/>
    <n v="450"/>
    <n v="29250"/>
  </r>
  <r>
    <x v="31"/>
    <x v="16"/>
    <x v="0"/>
    <x v="2"/>
    <n v="36"/>
    <n v="800"/>
    <n v="28800"/>
  </r>
  <r>
    <x v="479"/>
    <x v="16"/>
    <x v="3"/>
    <x v="3"/>
    <n v="7"/>
    <n v="820"/>
    <n v="5740"/>
  </r>
  <r>
    <x v="133"/>
    <x v="16"/>
    <x v="1"/>
    <x v="3"/>
    <n v="31"/>
    <n v="950"/>
    <n v="29450"/>
  </r>
  <r>
    <x v="943"/>
    <x v="16"/>
    <x v="3"/>
    <x v="3"/>
    <n v="1"/>
    <n v="950"/>
    <n v="950"/>
  </r>
  <r>
    <x v="944"/>
    <x v="16"/>
    <x v="5"/>
    <x v="2"/>
    <n v="196"/>
    <n v="800"/>
    <n v="156800"/>
  </r>
  <r>
    <x v="945"/>
    <x v="16"/>
    <x v="1"/>
    <x v="2"/>
    <n v="51"/>
    <n v="800"/>
    <n v="40800"/>
  </r>
  <r>
    <x v="478"/>
    <x v="16"/>
    <x v="5"/>
    <x v="4"/>
    <n v="81"/>
    <n v="450"/>
    <n v="36450"/>
  </r>
  <r>
    <x v="946"/>
    <x v="16"/>
    <x v="4"/>
    <x v="3"/>
    <n v="62"/>
    <n v="820"/>
    <n v="50840"/>
  </r>
  <r>
    <x v="947"/>
    <x v="16"/>
    <x v="4"/>
    <x v="3"/>
    <n v="140"/>
    <n v="820"/>
    <n v="114800"/>
  </r>
  <r>
    <x v="948"/>
    <x v="16"/>
    <x v="0"/>
    <x v="1"/>
    <n v="134"/>
    <n v="1200"/>
    <n v="160800"/>
  </r>
  <r>
    <x v="74"/>
    <x v="16"/>
    <x v="1"/>
    <x v="2"/>
    <n v="12"/>
    <n v="800"/>
    <n v="9600"/>
  </r>
  <r>
    <x v="67"/>
    <x v="16"/>
    <x v="3"/>
    <x v="2"/>
    <n v="44"/>
    <n v="800"/>
    <n v="35200"/>
  </r>
  <r>
    <x v="113"/>
    <x v="16"/>
    <x v="2"/>
    <x v="3"/>
    <n v="1"/>
    <n v="820"/>
    <n v="820"/>
  </r>
  <r>
    <x v="624"/>
    <x v="16"/>
    <x v="1"/>
    <x v="3"/>
    <n v="42"/>
    <n v="820"/>
    <n v="34440"/>
  </r>
  <r>
    <x v="604"/>
    <x v="16"/>
    <x v="2"/>
    <x v="4"/>
    <n v="7"/>
    <n v="450"/>
    <n v="3150"/>
  </r>
  <r>
    <x v="949"/>
    <x v="16"/>
    <x v="5"/>
    <x v="3"/>
    <n v="44"/>
    <n v="820"/>
    <n v="36080"/>
  </r>
  <r>
    <x v="365"/>
    <x v="16"/>
    <x v="1"/>
    <x v="3"/>
    <n v="16"/>
    <n v="820"/>
    <n v="13120"/>
  </r>
  <r>
    <x v="376"/>
    <x v="16"/>
    <x v="1"/>
    <x v="1"/>
    <n v="39"/>
    <n v="1200"/>
    <n v="46800"/>
  </r>
  <r>
    <x v="950"/>
    <x v="16"/>
    <x v="1"/>
    <x v="3"/>
    <n v="30"/>
    <n v="820"/>
    <n v="24600"/>
  </r>
  <r>
    <x v="951"/>
    <x v="16"/>
    <x v="4"/>
    <x v="3"/>
    <n v="192"/>
    <n v="820"/>
    <n v="157440"/>
  </r>
  <r>
    <x v="952"/>
    <x v="16"/>
    <x v="4"/>
    <x v="3"/>
    <n v="125"/>
    <n v="950"/>
    <n v="118750"/>
  </r>
  <r>
    <x v="94"/>
    <x v="16"/>
    <x v="4"/>
    <x v="2"/>
    <n v="25"/>
    <n v="800"/>
    <n v="20000"/>
  </r>
  <r>
    <x v="860"/>
    <x v="16"/>
    <x v="0"/>
    <x v="3"/>
    <n v="30"/>
    <n v="820"/>
    <n v="24600"/>
  </r>
  <r>
    <x v="655"/>
    <x v="16"/>
    <x v="0"/>
    <x v="3"/>
    <n v="17"/>
    <n v="950"/>
    <n v="16150"/>
  </r>
  <r>
    <x v="953"/>
    <x v="16"/>
    <x v="0"/>
    <x v="2"/>
    <n v="29"/>
    <n v="800"/>
    <n v="23200"/>
  </r>
  <r>
    <x v="954"/>
    <x v="16"/>
    <x v="2"/>
    <x v="3"/>
    <n v="15"/>
    <n v="950"/>
    <n v="14250"/>
  </r>
  <r>
    <x v="42"/>
    <x v="16"/>
    <x v="1"/>
    <x v="3"/>
    <n v="1"/>
    <n v="820"/>
    <n v="820"/>
  </r>
  <r>
    <x v="955"/>
    <x v="16"/>
    <x v="0"/>
    <x v="0"/>
    <n v="2"/>
    <n v="650"/>
    <n v="1300"/>
  </r>
  <r>
    <x v="688"/>
    <x v="16"/>
    <x v="1"/>
    <x v="3"/>
    <n v="34"/>
    <n v="820"/>
    <n v="27880"/>
  </r>
  <r>
    <x v="0"/>
    <x v="16"/>
    <x v="3"/>
    <x v="3"/>
    <n v="107"/>
    <n v="820"/>
    <n v="87740"/>
  </r>
  <r>
    <x v="411"/>
    <x v="16"/>
    <x v="2"/>
    <x v="0"/>
    <n v="29"/>
    <n v="650"/>
    <n v="18850"/>
  </r>
  <r>
    <x v="329"/>
    <x v="17"/>
    <x v="0"/>
    <x v="2"/>
    <n v="29"/>
    <n v="800"/>
    <n v="23200"/>
  </r>
  <r>
    <x v="956"/>
    <x v="17"/>
    <x v="4"/>
    <x v="3"/>
    <n v="125"/>
    <n v="820"/>
    <n v="102500"/>
  </r>
  <r>
    <x v="744"/>
    <x v="17"/>
    <x v="0"/>
    <x v="2"/>
    <n v="14"/>
    <n v="800"/>
    <n v="11200"/>
  </r>
  <r>
    <x v="957"/>
    <x v="17"/>
    <x v="0"/>
    <x v="1"/>
    <n v="18"/>
    <n v="1200"/>
    <n v="21600"/>
  </r>
  <r>
    <x v="77"/>
    <x v="17"/>
    <x v="5"/>
    <x v="4"/>
    <n v="55"/>
    <n v="450"/>
    <n v="24750"/>
  </r>
  <r>
    <x v="958"/>
    <x v="17"/>
    <x v="5"/>
    <x v="1"/>
    <n v="41"/>
    <n v="1200"/>
    <n v="49200"/>
  </r>
  <r>
    <x v="592"/>
    <x v="17"/>
    <x v="5"/>
    <x v="2"/>
    <n v="1"/>
    <n v="800"/>
    <n v="800"/>
  </r>
  <r>
    <x v="959"/>
    <x v="17"/>
    <x v="5"/>
    <x v="2"/>
    <n v="133"/>
    <n v="800"/>
    <n v="106400"/>
  </r>
  <r>
    <x v="102"/>
    <x v="17"/>
    <x v="3"/>
    <x v="3"/>
    <n v="8"/>
    <n v="950"/>
    <n v="7600"/>
  </r>
  <r>
    <x v="946"/>
    <x v="17"/>
    <x v="4"/>
    <x v="1"/>
    <n v="74"/>
    <n v="1200"/>
    <n v="88800"/>
  </r>
  <r>
    <x v="960"/>
    <x v="17"/>
    <x v="3"/>
    <x v="1"/>
    <n v="25"/>
    <n v="1200"/>
    <n v="30000"/>
  </r>
  <r>
    <x v="337"/>
    <x v="17"/>
    <x v="2"/>
    <x v="3"/>
    <n v="23"/>
    <n v="950"/>
    <n v="21850"/>
  </r>
  <r>
    <x v="961"/>
    <x v="17"/>
    <x v="1"/>
    <x v="2"/>
    <n v="81"/>
    <n v="800"/>
    <n v="64800"/>
  </r>
  <r>
    <x v="962"/>
    <x v="17"/>
    <x v="1"/>
    <x v="2"/>
    <n v="98"/>
    <n v="800"/>
    <n v="78400"/>
  </r>
  <r>
    <x v="963"/>
    <x v="17"/>
    <x v="2"/>
    <x v="2"/>
    <n v="44"/>
    <n v="800"/>
    <n v="35200"/>
  </r>
  <r>
    <x v="325"/>
    <x v="17"/>
    <x v="1"/>
    <x v="1"/>
    <n v="21"/>
    <n v="1200"/>
    <n v="25200"/>
  </r>
  <r>
    <x v="964"/>
    <x v="17"/>
    <x v="2"/>
    <x v="4"/>
    <n v="5"/>
    <n v="450"/>
    <n v="2250"/>
  </r>
  <r>
    <x v="606"/>
    <x v="17"/>
    <x v="3"/>
    <x v="3"/>
    <n v="86"/>
    <n v="820"/>
    <n v="70520"/>
  </r>
  <r>
    <x v="714"/>
    <x v="17"/>
    <x v="0"/>
    <x v="3"/>
    <n v="16"/>
    <n v="950"/>
    <n v="15200"/>
  </r>
  <r>
    <x v="601"/>
    <x v="17"/>
    <x v="3"/>
    <x v="1"/>
    <n v="176"/>
    <n v="1200"/>
    <n v="211200"/>
  </r>
  <r>
    <x v="866"/>
    <x v="17"/>
    <x v="0"/>
    <x v="2"/>
    <n v="148"/>
    <n v="800"/>
    <n v="118400"/>
  </r>
  <r>
    <x v="465"/>
    <x v="17"/>
    <x v="1"/>
    <x v="4"/>
    <n v="12"/>
    <n v="450"/>
    <n v="5400"/>
  </r>
  <r>
    <x v="858"/>
    <x v="17"/>
    <x v="1"/>
    <x v="3"/>
    <n v="26"/>
    <n v="820"/>
    <n v="21320"/>
  </r>
  <r>
    <x v="965"/>
    <x v="17"/>
    <x v="0"/>
    <x v="3"/>
    <n v="56"/>
    <n v="820"/>
    <n v="45920"/>
  </r>
  <r>
    <x v="966"/>
    <x v="17"/>
    <x v="1"/>
    <x v="2"/>
    <n v="31"/>
    <n v="800"/>
    <n v="24800"/>
  </r>
  <r>
    <x v="967"/>
    <x v="17"/>
    <x v="5"/>
    <x v="2"/>
    <n v="175"/>
    <n v="800"/>
    <n v="140000"/>
  </r>
  <r>
    <x v="516"/>
    <x v="17"/>
    <x v="1"/>
    <x v="3"/>
    <n v="13"/>
    <n v="820"/>
    <n v="10660"/>
  </r>
  <r>
    <x v="968"/>
    <x v="17"/>
    <x v="5"/>
    <x v="0"/>
    <n v="64"/>
    <n v="650"/>
    <n v="41600"/>
  </r>
  <r>
    <x v="969"/>
    <x v="17"/>
    <x v="5"/>
    <x v="2"/>
    <n v="100"/>
    <n v="800"/>
    <n v="80000"/>
  </r>
  <r>
    <x v="809"/>
    <x v="17"/>
    <x v="2"/>
    <x v="2"/>
    <n v="2"/>
    <n v="800"/>
    <n v="1600"/>
  </r>
  <r>
    <x v="970"/>
    <x v="17"/>
    <x v="3"/>
    <x v="1"/>
    <n v="54"/>
    <n v="1200"/>
    <n v="64800"/>
  </r>
  <r>
    <x v="729"/>
    <x v="17"/>
    <x v="1"/>
    <x v="3"/>
    <n v="25"/>
    <n v="820"/>
    <n v="20500"/>
  </r>
  <r>
    <x v="318"/>
    <x v="17"/>
    <x v="4"/>
    <x v="2"/>
    <n v="87"/>
    <n v="800"/>
    <n v="69600"/>
  </r>
  <r>
    <x v="971"/>
    <x v="17"/>
    <x v="1"/>
    <x v="0"/>
    <n v="46"/>
    <n v="650"/>
    <n v="29900"/>
  </r>
  <r>
    <x v="81"/>
    <x v="17"/>
    <x v="5"/>
    <x v="3"/>
    <n v="20"/>
    <n v="820"/>
    <n v="16400"/>
  </r>
  <r>
    <x v="726"/>
    <x v="17"/>
    <x v="0"/>
    <x v="3"/>
    <n v="57"/>
    <n v="950"/>
    <n v="54150"/>
  </r>
  <r>
    <x v="156"/>
    <x v="17"/>
    <x v="1"/>
    <x v="2"/>
    <n v="32"/>
    <n v="800"/>
    <n v="25600"/>
  </r>
  <r>
    <x v="972"/>
    <x v="17"/>
    <x v="1"/>
    <x v="2"/>
    <n v="58"/>
    <n v="800"/>
    <n v="46400"/>
  </r>
  <r>
    <x v="891"/>
    <x v="17"/>
    <x v="1"/>
    <x v="1"/>
    <n v="22"/>
    <n v="1200"/>
    <n v="26400"/>
  </r>
  <r>
    <x v="973"/>
    <x v="17"/>
    <x v="1"/>
    <x v="1"/>
    <n v="47"/>
    <n v="1200"/>
    <n v="56400"/>
  </r>
  <r>
    <x v="974"/>
    <x v="17"/>
    <x v="5"/>
    <x v="3"/>
    <n v="108"/>
    <n v="820"/>
    <n v="88560"/>
  </r>
  <r>
    <x v="763"/>
    <x v="17"/>
    <x v="3"/>
    <x v="2"/>
    <n v="25"/>
    <n v="800"/>
    <n v="20000"/>
  </r>
  <r>
    <x v="757"/>
    <x v="17"/>
    <x v="1"/>
    <x v="3"/>
    <n v="82"/>
    <n v="820"/>
    <n v="67240"/>
  </r>
  <r>
    <x v="975"/>
    <x v="17"/>
    <x v="3"/>
    <x v="4"/>
    <n v="56"/>
    <n v="450"/>
    <n v="25200"/>
  </r>
  <r>
    <x v="843"/>
    <x v="17"/>
    <x v="3"/>
    <x v="1"/>
    <n v="23"/>
    <n v="1200"/>
    <n v="27600"/>
  </r>
  <r>
    <x v="146"/>
    <x v="17"/>
    <x v="0"/>
    <x v="0"/>
    <n v="64"/>
    <n v="650"/>
    <n v="41600"/>
  </r>
  <r>
    <x v="976"/>
    <x v="17"/>
    <x v="5"/>
    <x v="1"/>
    <n v="14"/>
    <n v="1200"/>
    <n v="16800"/>
  </r>
  <r>
    <x v="197"/>
    <x v="17"/>
    <x v="3"/>
    <x v="3"/>
    <n v="10"/>
    <n v="950"/>
    <n v="9500"/>
  </r>
  <r>
    <x v="977"/>
    <x v="17"/>
    <x v="3"/>
    <x v="3"/>
    <n v="107"/>
    <n v="820"/>
    <n v="87740"/>
  </r>
  <r>
    <x v="831"/>
    <x v="17"/>
    <x v="3"/>
    <x v="2"/>
    <n v="40"/>
    <n v="800"/>
    <n v="32000"/>
  </r>
  <r>
    <x v="978"/>
    <x v="17"/>
    <x v="4"/>
    <x v="2"/>
    <n v="28"/>
    <n v="800"/>
    <n v="22400"/>
  </r>
  <r>
    <x v="964"/>
    <x v="17"/>
    <x v="4"/>
    <x v="3"/>
    <n v="46"/>
    <n v="950"/>
    <n v="43700"/>
  </r>
  <r>
    <x v="505"/>
    <x v="18"/>
    <x v="5"/>
    <x v="3"/>
    <n v="1"/>
    <n v="820"/>
    <n v="820"/>
  </r>
  <r>
    <x v="439"/>
    <x v="18"/>
    <x v="2"/>
    <x v="4"/>
    <n v="10"/>
    <n v="450"/>
    <n v="4500"/>
  </r>
  <r>
    <x v="979"/>
    <x v="18"/>
    <x v="3"/>
    <x v="2"/>
    <n v="60"/>
    <n v="800"/>
    <n v="48000"/>
  </r>
  <r>
    <x v="318"/>
    <x v="18"/>
    <x v="0"/>
    <x v="2"/>
    <n v="46"/>
    <n v="800"/>
    <n v="36800"/>
  </r>
  <r>
    <x v="369"/>
    <x v="18"/>
    <x v="0"/>
    <x v="1"/>
    <n v="43"/>
    <n v="1200"/>
    <n v="51600"/>
  </r>
  <r>
    <x v="507"/>
    <x v="18"/>
    <x v="1"/>
    <x v="0"/>
    <n v="24"/>
    <n v="650"/>
    <n v="15600"/>
  </r>
  <r>
    <x v="155"/>
    <x v="18"/>
    <x v="3"/>
    <x v="2"/>
    <n v="12"/>
    <n v="800"/>
    <n v="9600"/>
  </r>
  <r>
    <x v="295"/>
    <x v="18"/>
    <x v="5"/>
    <x v="3"/>
    <n v="69"/>
    <n v="820"/>
    <n v="56580"/>
  </r>
  <r>
    <x v="980"/>
    <x v="18"/>
    <x v="1"/>
    <x v="2"/>
    <n v="3"/>
    <n v="800"/>
    <n v="2400"/>
  </r>
  <r>
    <x v="981"/>
    <x v="18"/>
    <x v="5"/>
    <x v="3"/>
    <n v="69"/>
    <n v="820"/>
    <n v="56580"/>
  </r>
  <r>
    <x v="982"/>
    <x v="18"/>
    <x v="4"/>
    <x v="1"/>
    <n v="2"/>
    <n v="1200"/>
    <n v="2400"/>
  </r>
  <r>
    <x v="355"/>
    <x v="18"/>
    <x v="3"/>
    <x v="3"/>
    <n v="26"/>
    <n v="820"/>
    <n v="21320"/>
  </r>
  <r>
    <x v="75"/>
    <x v="18"/>
    <x v="2"/>
    <x v="2"/>
    <n v="1"/>
    <n v="800"/>
    <n v="800"/>
  </r>
  <r>
    <x v="983"/>
    <x v="18"/>
    <x v="3"/>
    <x v="3"/>
    <n v="73"/>
    <n v="950"/>
    <n v="69350"/>
  </r>
  <r>
    <x v="984"/>
    <x v="18"/>
    <x v="0"/>
    <x v="4"/>
    <n v="27"/>
    <n v="450"/>
    <n v="12150"/>
  </r>
  <r>
    <x v="190"/>
    <x v="18"/>
    <x v="3"/>
    <x v="3"/>
    <n v="107"/>
    <n v="950"/>
    <n v="101650"/>
  </r>
  <r>
    <x v="334"/>
    <x v="18"/>
    <x v="3"/>
    <x v="2"/>
    <n v="80"/>
    <n v="800"/>
    <n v="64000"/>
  </r>
  <r>
    <x v="985"/>
    <x v="18"/>
    <x v="4"/>
    <x v="0"/>
    <n v="209"/>
    <n v="650"/>
    <n v="135850"/>
  </r>
  <r>
    <x v="557"/>
    <x v="18"/>
    <x v="5"/>
    <x v="1"/>
    <n v="40"/>
    <n v="1200"/>
    <n v="48000"/>
  </r>
  <r>
    <x v="573"/>
    <x v="18"/>
    <x v="2"/>
    <x v="2"/>
    <n v="8"/>
    <n v="800"/>
    <n v="6400"/>
  </r>
  <r>
    <x v="694"/>
    <x v="18"/>
    <x v="3"/>
    <x v="3"/>
    <n v="87"/>
    <n v="820"/>
    <n v="71340"/>
  </r>
  <r>
    <x v="733"/>
    <x v="18"/>
    <x v="0"/>
    <x v="3"/>
    <n v="21"/>
    <n v="820"/>
    <n v="17220"/>
  </r>
  <r>
    <x v="45"/>
    <x v="18"/>
    <x v="4"/>
    <x v="3"/>
    <n v="20"/>
    <n v="820"/>
    <n v="16400"/>
  </r>
  <r>
    <x v="986"/>
    <x v="18"/>
    <x v="1"/>
    <x v="1"/>
    <n v="53"/>
    <n v="1200"/>
    <n v="63600"/>
  </r>
  <r>
    <x v="987"/>
    <x v="18"/>
    <x v="1"/>
    <x v="3"/>
    <n v="5"/>
    <n v="820"/>
    <n v="4100"/>
  </r>
  <r>
    <x v="180"/>
    <x v="18"/>
    <x v="0"/>
    <x v="2"/>
    <n v="6"/>
    <n v="800"/>
    <n v="4800"/>
  </r>
  <r>
    <x v="988"/>
    <x v="18"/>
    <x v="2"/>
    <x v="3"/>
    <n v="3"/>
    <n v="820"/>
    <n v="2460"/>
  </r>
  <r>
    <x v="989"/>
    <x v="18"/>
    <x v="2"/>
    <x v="3"/>
    <n v="6"/>
    <n v="950"/>
    <n v="5700"/>
  </r>
  <r>
    <x v="990"/>
    <x v="18"/>
    <x v="2"/>
    <x v="3"/>
    <n v="1"/>
    <n v="950"/>
    <n v="950"/>
  </r>
  <r>
    <x v="835"/>
    <x v="18"/>
    <x v="2"/>
    <x v="3"/>
    <n v="5"/>
    <n v="820"/>
    <n v="4100"/>
  </r>
  <r>
    <x v="991"/>
    <x v="18"/>
    <x v="3"/>
    <x v="4"/>
    <n v="3"/>
    <n v="450"/>
    <n v="1350"/>
  </r>
  <r>
    <x v="992"/>
    <x v="18"/>
    <x v="0"/>
    <x v="3"/>
    <n v="111"/>
    <n v="820"/>
    <n v="91020"/>
  </r>
  <r>
    <x v="993"/>
    <x v="18"/>
    <x v="2"/>
    <x v="1"/>
    <n v="33"/>
    <n v="1200"/>
    <n v="39600"/>
  </r>
  <r>
    <x v="648"/>
    <x v="18"/>
    <x v="3"/>
    <x v="4"/>
    <n v="2"/>
    <n v="450"/>
    <n v="900"/>
  </r>
  <r>
    <x v="994"/>
    <x v="18"/>
    <x v="5"/>
    <x v="3"/>
    <n v="171"/>
    <n v="820"/>
    <n v="140220"/>
  </r>
  <r>
    <x v="526"/>
    <x v="18"/>
    <x v="3"/>
    <x v="2"/>
    <n v="11"/>
    <n v="800"/>
    <n v="8800"/>
  </r>
  <r>
    <x v="685"/>
    <x v="18"/>
    <x v="2"/>
    <x v="3"/>
    <n v="6"/>
    <n v="950"/>
    <n v="5700"/>
  </r>
  <r>
    <x v="2"/>
    <x v="18"/>
    <x v="5"/>
    <x v="1"/>
    <n v="44"/>
    <n v="1200"/>
    <n v="52800"/>
  </r>
  <r>
    <x v="632"/>
    <x v="18"/>
    <x v="4"/>
    <x v="3"/>
    <n v="41"/>
    <n v="950"/>
    <n v="38950"/>
  </r>
  <r>
    <x v="995"/>
    <x v="18"/>
    <x v="2"/>
    <x v="1"/>
    <n v="27"/>
    <n v="1200"/>
    <n v="32400"/>
  </r>
  <r>
    <x v="757"/>
    <x v="18"/>
    <x v="5"/>
    <x v="4"/>
    <n v="17"/>
    <n v="450"/>
    <n v="7650"/>
  </r>
  <r>
    <x v="486"/>
    <x v="18"/>
    <x v="5"/>
    <x v="3"/>
    <n v="37"/>
    <n v="820"/>
    <n v="30340"/>
  </r>
  <r>
    <x v="996"/>
    <x v="18"/>
    <x v="0"/>
    <x v="4"/>
    <n v="67"/>
    <n v="450"/>
    <n v="30150"/>
  </r>
  <r>
    <x v="350"/>
    <x v="18"/>
    <x v="3"/>
    <x v="2"/>
    <n v="26"/>
    <n v="800"/>
    <n v="20800"/>
  </r>
  <r>
    <x v="712"/>
    <x v="18"/>
    <x v="5"/>
    <x v="3"/>
    <n v="36"/>
    <n v="820"/>
    <n v="29520"/>
  </r>
  <r>
    <x v="120"/>
    <x v="18"/>
    <x v="0"/>
    <x v="1"/>
    <n v="38"/>
    <n v="1200"/>
    <n v="45600"/>
  </r>
  <r>
    <x v="341"/>
    <x v="18"/>
    <x v="3"/>
    <x v="3"/>
    <n v="62"/>
    <n v="820"/>
    <n v="50840"/>
  </r>
  <r>
    <x v="40"/>
    <x v="18"/>
    <x v="5"/>
    <x v="3"/>
    <n v="83"/>
    <n v="950"/>
    <n v="78850"/>
  </r>
  <r>
    <x v="404"/>
    <x v="18"/>
    <x v="4"/>
    <x v="3"/>
    <n v="30"/>
    <n v="820"/>
    <n v="24600"/>
  </r>
  <r>
    <x v="103"/>
    <x v="18"/>
    <x v="1"/>
    <x v="3"/>
    <n v="30"/>
    <n v="820"/>
    <n v="24600"/>
  </r>
  <r>
    <x v="997"/>
    <x v="18"/>
    <x v="5"/>
    <x v="1"/>
    <n v="36"/>
    <n v="1200"/>
    <n v="43200"/>
  </r>
  <r>
    <x v="107"/>
    <x v="18"/>
    <x v="0"/>
    <x v="0"/>
    <n v="33"/>
    <n v="650"/>
    <n v="21450"/>
  </r>
  <r>
    <x v="998"/>
    <x v="18"/>
    <x v="4"/>
    <x v="2"/>
    <n v="169"/>
    <n v="800"/>
    <n v="135200"/>
  </r>
  <r>
    <x v="272"/>
    <x v="18"/>
    <x v="0"/>
    <x v="3"/>
    <n v="25"/>
    <n v="820"/>
    <n v="20500"/>
  </r>
  <r>
    <x v="303"/>
    <x v="18"/>
    <x v="4"/>
    <x v="2"/>
    <n v="15"/>
    <n v="800"/>
    <n v="12000"/>
  </r>
  <r>
    <x v="723"/>
    <x v="18"/>
    <x v="5"/>
    <x v="3"/>
    <n v="24"/>
    <n v="820"/>
    <n v="19680"/>
  </r>
  <r>
    <x v="794"/>
    <x v="18"/>
    <x v="4"/>
    <x v="4"/>
    <n v="75"/>
    <n v="450"/>
    <n v="33750"/>
  </r>
  <r>
    <x v="999"/>
    <x v="18"/>
    <x v="5"/>
    <x v="1"/>
    <n v="68"/>
    <n v="1200"/>
    <n v="81600"/>
  </r>
  <r>
    <x v="1000"/>
    <x v="18"/>
    <x v="3"/>
    <x v="0"/>
    <n v="40"/>
    <n v="650"/>
    <n v="26000"/>
  </r>
  <r>
    <x v="334"/>
    <x v="18"/>
    <x v="1"/>
    <x v="1"/>
    <n v="39"/>
    <n v="1200"/>
    <n v="46800"/>
  </r>
  <r>
    <x v="1001"/>
    <x v="18"/>
    <x v="2"/>
    <x v="3"/>
    <n v="13"/>
    <n v="950"/>
    <n v="12350"/>
  </r>
  <r>
    <x v="1002"/>
    <x v="18"/>
    <x v="5"/>
    <x v="2"/>
    <n v="126"/>
    <n v="800"/>
    <n v="100800"/>
  </r>
  <r>
    <x v="1003"/>
    <x v="18"/>
    <x v="0"/>
    <x v="3"/>
    <n v="93"/>
    <n v="950"/>
    <n v="88350"/>
  </r>
  <r>
    <x v="477"/>
    <x v="18"/>
    <x v="3"/>
    <x v="3"/>
    <n v="61"/>
    <n v="950"/>
    <n v="57950"/>
  </r>
  <r>
    <x v="1004"/>
    <x v="19"/>
    <x v="4"/>
    <x v="2"/>
    <n v="6"/>
    <n v="800"/>
    <n v="4800"/>
  </r>
  <r>
    <x v="487"/>
    <x v="19"/>
    <x v="0"/>
    <x v="3"/>
    <n v="20"/>
    <n v="950"/>
    <n v="19000"/>
  </r>
  <r>
    <x v="160"/>
    <x v="19"/>
    <x v="5"/>
    <x v="0"/>
    <n v="143"/>
    <n v="650"/>
    <n v="92950"/>
  </r>
  <r>
    <x v="732"/>
    <x v="19"/>
    <x v="5"/>
    <x v="1"/>
    <n v="66"/>
    <n v="1200"/>
    <n v="79200"/>
  </r>
  <r>
    <x v="507"/>
    <x v="19"/>
    <x v="2"/>
    <x v="1"/>
    <n v="12"/>
    <n v="1200"/>
    <n v="14400"/>
  </r>
  <r>
    <x v="77"/>
    <x v="19"/>
    <x v="0"/>
    <x v="2"/>
    <n v="27"/>
    <n v="800"/>
    <n v="21600"/>
  </r>
  <r>
    <x v="571"/>
    <x v="19"/>
    <x v="5"/>
    <x v="4"/>
    <n v="5"/>
    <n v="450"/>
    <n v="2250"/>
  </r>
  <r>
    <x v="479"/>
    <x v="19"/>
    <x v="1"/>
    <x v="0"/>
    <n v="14"/>
    <n v="650"/>
    <n v="9100"/>
  </r>
  <r>
    <x v="498"/>
    <x v="19"/>
    <x v="4"/>
    <x v="4"/>
    <n v="70"/>
    <n v="450"/>
    <n v="31500"/>
  </r>
  <r>
    <x v="32"/>
    <x v="19"/>
    <x v="1"/>
    <x v="2"/>
    <n v="9"/>
    <n v="800"/>
    <n v="7200"/>
  </r>
  <r>
    <x v="60"/>
    <x v="19"/>
    <x v="2"/>
    <x v="4"/>
    <n v="21"/>
    <n v="450"/>
    <n v="9450"/>
  </r>
  <r>
    <x v="633"/>
    <x v="19"/>
    <x v="0"/>
    <x v="3"/>
    <n v="70"/>
    <n v="820"/>
    <n v="57400"/>
  </r>
  <r>
    <x v="1005"/>
    <x v="19"/>
    <x v="2"/>
    <x v="3"/>
    <n v="21"/>
    <n v="950"/>
    <n v="19950"/>
  </r>
  <r>
    <x v="699"/>
    <x v="19"/>
    <x v="5"/>
    <x v="4"/>
    <n v="3"/>
    <n v="450"/>
    <n v="1350"/>
  </r>
  <r>
    <x v="1006"/>
    <x v="19"/>
    <x v="4"/>
    <x v="4"/>
    <n v="143"/>
    <n v="450"/>
    <n v="64350"/>
  </r>
  <r>
    <x v="503"/>
    <x v="19"/>
    <x v="1"/>
    <x v="3"/>
    <n v="12"/>
    <n v="820"/>
    <n v="9840"/>
  </r>
  <r>
    <x v="763"/>
    <x v="19"/>
    <x v="1"/>
    <x v="2"/>
    <n v="15"/>
    <n v="800"/>
    <n v="12000"/>
  </r>
  <r>
    <x v="331"/>
    <x v="19"/>
    <x v="1"/>
    <x v="1"/>
    <n v="28"/>
    <n v="1200"/>
    <n v="33600"/>
  </r>
  <r>
    <x v="79"/>
    <x v="19"/>
    <x v="3"/>
    <x v="4"/>
    <n v="51"/>
    <n v="450"/>
    <n v="22950"/>
  </r>
  <r>
    <x v="676"/>
    <x v="19"/>
    <x v="1"/>
    <x v="1"/>
    <n v="13"/>
    <n v="1200"/>
    <n v="15600"/>
  </r>
  <r>
    <x v="146"/>
    <x v="19"/>
    <x v="1"/>
    <x v="1"/>
    <n v="51"/>
    <n v="1200"/>
    <n v="61200"/>
  </r>
  <r>
    <x v="260"/>
    <x v="19"/>
    <x v="0"/>
    <x v="1"/>
    <n v="92"/>
    <n v="1200"/>
    <n v="110400"/>
  </r>
  <r>
    <x v="741"/>
    <x v="19"/>
    <x v="0"/>
    <x v="4"/>
    <n v="8"/>
    <n v="450"/>
    <n v="3600"/>
  </r>
  <r>
    <x v="1007"/>
    <x v="19"/>
    <x v="3"/>
    <x v="3"/>
    <n v="38"/>
    <n v="820"/>
    <n v="31160"/>
  </r>
  <r>
    <x v="1008"/>
    <x v="19"/>
    <x v="4"/>
    <x v="0"/>
    <n v="136"/>
    <n v="650"/>
    <n v="88400"/>
  </r>
  <r>
    <x v="1009"/>
    <x v="19"/>
    <x v="3"/>
    <x v="0"/>
    <n v="64"/>
    <n v="650"/>
    <n v="41600"/>
  </r>
  <r>
    <x v="1010"/>
    <x v="19"/>
    <x v="4"/>
    <x v="4"/>
    <n v="28"/>
    <n v="450"/>
    <n v="12600"/>
  </r>
  <r>
    <x v="1011"/>
    <x v="19"/>
    <x v="4"/>
    <x v="1"/>
    <n v="30"/>
    <n v="1200"/>
    <n v="36000"/>
  </r>
  <r>
    <x v="454"/>
    <x v="19"/>
    <x v="3"/>
    <x v="0"/>
    <n v="51"/>
    <n v="650"/>
    <n v="33150"/>
  </r>
  <r>
    <x v="512"/>
    <x v="19"/>
    <x v="2"/>
    <x v="2"/>
    <n v="12"/>
    <n v="800"/>
    <n v="9600"/>
  </r>
  <r>
    <x v="588"/>
    <x v="19"/>
    <x v="2"/>
    <x v="3"/>
    <n v="6"/>
    <n v="950"/>
    <n v="5700"/>
  </r>
  <r>
    <x v="152"/>
    <x v="19"/>
    <x v="1"/>
    <x v="4"/>
    <n v="17"/>
    <n v="450"/>
    <n v="7650"/>
  </r>
  <r>
    <x v="905"/>
    <x v="19"/>
    <x v="3"/>
    <x v="3"/>
    <n v="25"/>
    <n v="820"/>
    <n v="20500"/>
  </r>
  <r>
    <x v="401"/>
    <x v="19"/>
    <x v="4"/>
    <x v="4"/>
    <n v="122"/>
    <n v="450"/>
    <n v="54900"/>
  </r>
  <r>
    <x v="306"/>
    <x v="19"/>
    <x v="5"/>
    <x v="2"/>
    <n v="13"/>
    <n v="800"/>
    <n v="10400"/>
  </r>
  <r>
    <x v="66"/>
    <x v="19"/>
    <x v="4"/>
    <x v="4"/>
    <n v="103"/>
    <n v="450"/>
    <n v="46350"/>
  </r>
  <r>
    <x v="1012"/>
    <x v="19"/>
    <x v="3"/>
    <x v="3"/>
    <n v="43"/>
    <n v="820"/>
    <n v="35260"/>
  </r>
  <r>
    <x v="913"/>
    <x v="19"/>
    <x v="0"/>
    <x v="1"/>
    <n v="98"/>
    <n v="1200"/>
    <n v="117600"/>
  </r>
  <r>
    <x v="965"/>
    <x v="19"/>
    <x v="5"/>
    <x v="3"/>
    <n v="48"/>
    <n v="950"/>
    <n v="45600"/>
  </r>
  <r>
    <x v="1013"/>
    <x v="19"/>
    <x v="2"/>
    <x v="0"/>
    <n v="7"/>
    <n v="650"/>
    <n v="4550"/>
  </r>
  <r>
    <x v="1014"/>
    <x v="19"/>
    <x v="1"/>
    <x v="0"/>
    <n v="2"/>
    <n v="650"/>
    <n v="1300"/>
  </r>
  <r>
    <x v="296"/>
    <x v="19"/>
    <x v="3"/>
    <x v="0"/>
    <n v="157"/>
    <n v="650"/>
    <n v="102050"/>
  </r>
  <r>
    <x v="231"/>
    <x v="19"/>
    <x v="4"/>
    <x v="1"/>
    <n v="24"/>
    <n v="1200"/>
    <n v="28800"/>
  </r>
  <r>
    <x v="172"/>
    <x v="19"/>
    <x v="3"/>
    <x v="1"/>
    <n v="114"/>
    <n v="1200"/>
    <n v="136800"/>
  </r>
  <r>
    <x v="1015"/>
    <x v="19"/>
    <x v="3"/>
    <x v="2"/>
    <n v="53"/>
    <n v="800"/>
    <n v="42400"/>
  </r>
  <r>
    <x v="730"/>
    <x v="19"/>
    <x v="4"/>
    <x v="3"/>
    <n v="175"/>
    <n v="950"/>
    <n v="166250"/>
  </r>
  <r>
    <x v="900"/>
    <x v="19"/>
    <x v="3"/>
    <x v="4"/>
    <n v="39"/>
    <n v="450"/>
    <n v="17550"/>
  </r>
  <r>
    <x v="1016"/>
    <x v="19"/>
    <x v="4"/>
    <x v="1"/>
    <n v="66"/>
    <n v="1200"/>
    <n v="79200"/>
  </r>
  <r>
    <x v="1017"/>
    <x v="19"/>
    <x v="5"/>
    <x v="3"/>
    <n v="193"/>
    <n v="820"/>
    <n v="158260"/>
  </r>
  <r>
    <x v="893"/>
    <x v="19"/>
    <x v="5"/>
    <x v="3"/>
    <n v="37"/>
    <n v="820"/>
    <n v="303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707AA-9C41-4BF5-99D8-B3757ADE2970}" name="PivotTable2" cacheId="31" applyNumberFormats="0" applyBorderFormats="0" applyFontFormats="0" applyPatternFormats="0" applyAlignmentFormats="0" applyWidthHeightFormats="1" dataCaption="Values" errorCaption="Nulo/error" showError="1" updatedVersion="8" minRefreshableVersion="3" useAutoFormatting="1" itemPrintTitles="1" createdVersion="8" indent="0" outline="1" outlineData="1" multipleFieldFilters="0">
  <location ref="A3:G8" firstHeaderRow="1" firstDataRow="2" firstDataCol="1"/>
  <pivotFields count="9">
    <pivotField numFmtId="14" showAll="0">
      <items count="1019">
        <item x="549"/>
        <item x="562"/>
        <item x="876"/>
        <item x="448"/>
        <item x="673"/>
        <item x="349"/>
        <item x="492"/>
        <item x="634"/>
        <item x="999"/>
        <item x="397"/>
        <item x="64"/>
        <item x="527"/>
        <item x="269"/>
        <item x="437"/>
        <item x="756"/>
        <item x="978"/>
        <item x="134"/>
        <item x="375"/>
        <item x="93"/>
        <item x="495"/>
        <item x="675"/>
        <item x="430"/>
        <item x="642"/>
        <item x="392"/>
        <item x="752"/>
        <item x="16"/>
        <item x="443"/>
        <item x="802"/>
        <item x="571"/>
        <item x="1000"/>
        <item x="91"/>
        <item x="74"/>
        <item x="474"/>
        <item x="594"/>
        <item x="993"/>
        <item x="86"/>
        <item x="508"/>
        <item x="481"/>
        <item x="315"/>
        <item x="840"/>
        <item x="193"/>
        <item x="803"/>
        <item x="528"/>
        <item x="558"/>
        <item x="292"/>
        <item x="353"/>
        <item x="166"/>
        <item x="979"/>
        <item x="102"/>
        <item x="438"/>
        <item x="486"/>
        <item x="556"/>
        <item x="564"/>
        <item x="143"/>
        <item x="113"/>
        <item x="966"/>
        <item x="275"/>
        <item x="554"/>
        <item x="902"/>
        <item x="905"/>
        <item x="547"/>
        <item x="43"/>
        <item x="408"/>
        <item x="427"/>
        <item x="664"/>
        <item x="869"/>
        <item x="227"/>
        <item x="818"/>
        <item x="578"/>
        <item x="287"/>
        <item x="424"/>
        <item x="92"/>
        <item x="284"/>
        <item x="677"/>
        <item x="975"/>
        <item x="362"/>
        <item x="912"/>
        <item x="669"/>
        <item x="345"/>
        <item x="828"/>
        <item x="889"/>
        <item x="213"/>
        <item x="676"/>
        <item x="524"/>
        <item x="958"/>
        <item x="30"/>
        <item x="599"/>
        <item x="557"/>
        <item x="857"/>
        <item x="743"/>
        <item x="501"/>
        <item x="425"/>
        <item x="22"/>
        <item x="942"/>
        <item x="423"/>
        <item x="186"/>
        <item x="70"/>
        <item x="450"/>
        <item x="201"/>
        <item x="129"/>
        <item x="611"/>
        <item x="452"/>
        <item x="497"/>
        <item x="552"/>
        <item x="744"/>
        <item x="736"/>
        <item x="403"/>
        <item x="442"/>
        <item x="194"/>
        <item x="209"/>
        <item x="821"/>
        <item x="751"/>
        <item x="78"/>
        <item x="568"/>
        <item x="734"/>
        <item x="288"/>
        <item x="335"/>
        <item x="805"/>
        <item x="386"/>
        <item x="204"/>
        <item x="106"/>
        <item x="635"/>
        <item x="535"/>
        <item x="794"/>
        <item x="970"/>
        <item x="622"/>
        <item x="911"/>
        <item x="46"/>
        <item x="407"/>
        <item x="808"/>
        <item x="888"/>
        <item x="444"/>
        <item x="621"/>
        <item x="787"/>
        <item x="312"/>
        <item x="1002"/>
        <item x="824"/>
        <item x="712"/>
        <item x="76"/>
        <item x="650"/>
        <item x="436"/>
        <item x="659"/>
        <item x="760"/>
        <item x="590"/>
        <item x="709"/>
        <item x="156"/>
        <item x="153"/>
        <item x="262"/>
        <item x="83"/>
        <item x="601"/>
        <item x="279"/>
        <item x="633"/>
        <item x="780"/>
        <item x="81"/>
        <item x="826"/>
        <item x="245"/>
        <item x="973"/>
        <item x="1016"/>
        <item x="382"/>
        <item x="559"/>
        <item x="140"/>
        <item x="588"/>
        <item x="565"/>
        <item x="823"/>
        <item x="45"/>
        <item x="417"/>
        <item x="26"/>
        <item x="708"/>
        <item x="191"/>
        <item x="618"/>
        <item x="589"/>
        <item x="489"/>
        <item x="473"/>
        <item x="162"/>
        <item x="774"/>
        <item x="646"/>
        <item x="331"/>
        <item x="663"/>
        <item x="920"/>
        <item x="864"/>
        <item x="254"/>
        <item x="792"/>
        <item x="815"/>
        <item x="790"/>
        <item x="325"/>
        <item x="239"/>
        <item x="602"/>
        <item x="870"/>
        <item x="651"/>
        <item x="698"/>
        <item x="463"/>
        <item x="747"/>
        <item x="577"/>
        <item x="638"/>
        <item x="77"/>
        <item x="519"/>
        <item x="20"/>
        <item x="302"/>
        <item x="900"/>
        <item x="693"/>
        <item x="28"/>
        <item x="498"/>
        <item x="348"/>
        <item x="810"/>
        <item x="653"/>
        <item x="661"/>
        <item x="370"/>
        <item x="285"/>
        <item x="24"/>
        <item x="393"/>
        <item x="31"/>
        <item x="604"/>
        <item x="733"/>
        <item x="811"/>
        <item x="469"/>
        <item x="303"/>
        <item x="872"/>
        <item x="782"/>
        <item x="11"/>
        <item x="200"/>
        <item x="1012"/>
        <item x="971"/>
        <item x="932"/>
        <item x="953"/>
        <item x="426"/>
        <item x="783"/>
        <item x="69"/>
        <item x="914"/>
        <item x="483"/>
        <item x="990"/>
        <item x="949"/>
        <item x="647"/>
        <item x="148"/>
        <item x="655"/>
        <item x="484"/>
        <item x="441"/>
        <item x="961"/>
        <item x="435"/>
        <item x="376"/>
        <item x="478"/>
        <item x="282"/>
        <item x="305"/>
        <item x="311"/>
        <item x="738"/>
        <item x="852"/>
        <item x="982"/>
        <item x="165"/>
        <item x="579"/>
        <item x="737"/>
        <item x="251"/>
        <item x="874"/>
        <item x="983"/>
        <item x="928"/>
        <item x="761"/>
        <item x="363"/>
        <item x="609"/>
        <item x="496"/>
        <item x="21"/>
        <item x="476"/>
        <item x="583"/>
        <item x="266"/>
        <item x="891"/>
        <item x="133"/>
        <item x="885"/>
        <item x="190"/>
        <item x="687"/>
        <item x="494"/>
        <item x="1010"/>
        <item x="1011"/>
        <item x="538"/>
        <item x="243"/>
        <item x="522"/>
        <item x="749"/>
        <item x="267"/>
        <item x="97"/>
        <item x="220"/>
        <item x="750"/>
        <item x="309"/>
        <item x="118"/>
        <item x="299"/>
        <item x="232"/>
        <item x="458"/>
        <item x="167"/>
        <item x="256"/>
        <item x="529"/>
        <item x="956"/>
        <item x="179"/>
        <item x="142"/>
        <item x="1"/>
        <item x="56"/>
        <item x="354"/>
        <item x="264"/>
        <item x="319"/>
        <item x="703"/>
        <item x="726"/>
        <item x="758"/>
        <item x="387"/>
        <item x="573"/>
        <item x="833"/>
        <item x="569"/>
        <item x="898"/>
        <item x="411"/>
        <item x="128"/>
        <item x="513"/>
        <item x="523"/>
        <item x="234"/>
        <item x="119"/>
        <item x="620"/>
        <item x="967"/>
        <item x="42"/>
        <item x="784"/>
        <item x="936"/>
        <item x="218"/>
        <item x="120"/>
        <item x="995"/>
        <item x="151"/>
        <item x="586"/>
        <item x="515"/>
        <item x="195"/>
        <item x="358"/>
        <item x="843"/>
        <item x="236"/>
        <item x="607"/>
        <item x="318"/>
        <item x="660"/>
        <item x="608"/>
        <item x="934"/>
        <item x="855"/>
        <item x="406"/>
        <item x="710"/>
        <item x="464"/>
        <item x="98"/>
        <item x="409"/>
        <item x="466"/>
        <item x="800"/>
        <item x="356"/>
        <item x="174"/>
        <item x="80"/>
        <item x="352"/>
        <item x="422"/>
        <item x="994"/>
        <item x="897"/>
        <item x="226"/>
        <item x="456"/>
        <item x="680"/>
        <item x="643"/>
        <item x="972"/>
        <item x="505"/>
        <item x="624"/>
        <item x="414"/>
        <item x="222"/>
        <item x="488"/>
        <item x="533"/>
        <item x="772"/>
        <item x="525"/>
        <item x="384"/>
        <item x="323"/>
        <item x="887"/>
        <item x="261"/>
        <item x="574"/>
        <item x="713"/>
        <item x="33"/>
        <item x="542"/>
        <item x="216"/>
        <item x="374"/>
        <item x="34"/>
        <item x="890"/>
        <item x="740"/>
        <item x="479"/>
        <item x="875"/>
        <item x="160"/>
        <item x="225"/>
        <item x="101"/>
        <item x="170"/>
        <item x="704"/>
        <item x="210"/>
        <item x="767"/>
        <item x="546"/>
        <item x="861"/>
        <item x="459"/>
        <item x="654"/>
        <item x="291"/>
        <item x="690"/>
        <item x="665"/>
        <item x="58"/>
        <item x="503"/>
        <item x="595"/>
        <item x="490"/>
        <item x="841"/>
        <item x="863"/>
        <item x="829"/>
        <item x="755"/>
        <item x="986"/>
        <item x="846"/>
        <item x="989"/>
        <item x="923"/>
        <item x="518"/>
        <item x="721"/>
        <item x="717"/>
        <item x="255"/>
        <item x="773"/>
        <item x="723"/>
        <item x="432"/>
        <item x="814"/>
        <item x="644"/>
        <item x="197"/>
        <item x="615"/>
        <item x="641"/>
        <item x="61"/>
        <item x="968"/>
        <item x="333"/>
        <item x="991"/>
        <item x="816"/>
        <item x="725"/>
        <item x="500"/>
        <item x="107"/>
        <item x="632"/>
        <item x="728"/>
        <item x="322"/>
        <item x="405"/>
        <item x="935"/>
        <item x="310"/>
        <item x="462"/>
        <item x="471"/>
        <item x="598"/>
        <item x="90"/>
        <item x="52"/>
        <item x="171"/>
        <item x="66"/>
        <item x="637"/>
        <item x="689"/>
        <item x="916"/>
        <item x="762"/>
        <item x="316"/>
        <item x="666"/>
        <item x="895"/>
        <item x="764"/>
        <item x="67"/>
        <item x="121"/>
        <item x="244"/>
        <item x="433"/>
        <item x="616"/>
        <item x="155"/>
        <item x="241"/>
        <item x="530"/>
        <item x="306"/>
        <item x="786"/>
        <item x="47"/>
        <item x="360"/>
        <item x="117"/>
        <item x="628"/>
        <item x="100"/>
        <item x="293"/>
        <item x="145"/>
        <item x="724"/>
        <item x="96"/>
        <item x="882"/>
        <item x="485"/>
        <item x="543"/>
        <item x="23"/>
        <item x="169"/>
        <item x="587"/>
        <item x="509"/>
        <item x="419"/>
        <item x="445"/>
        <item x="691"/>
        <item x="521"/>
        <item x="367"/>
        <item x="249"/>
        <item x="563"/>
        <item x="126"/>
        <item x="87"/>
        <item x="208"/>
        <item x="965"/>
        <item x="339"/>
        <item x="919"/>
        <item x="947"/>
        <item x="343"/>
        <item x="683"/>
        <item x="124"/>
        <item x="332"/>
        <item x="893"/>
        <item x="781"/>
        <item x="19"/>
        <item x="819"/>
        <item x="329"/>
        <item x="853"/>
        <item x="289"/>
        <item x="716"/>
        <item x="40"/>
        <item x="926"/>
        <item x="943"/>
        <item x="250"/>
        <item x="614"/>
        <item x="451"/>
        <item x="711"/>
        <item x="623"/>
        <item x="206"/>
        <item x="314"/>
        <item x="954"/>
        <item x="987"/>
        <item x="722"/>
        <item x="834"/>
        <item x="662"/>
        <item x="801"/>
        <item x="371"/>
        <item x="3"/>
        <item x="25"/>
        <item x="1014"/>
        <item x="908"/>
        <item x="219"/>
        <item x="506"/>
        <item x="410"/>
        <item x="402"/>
        <item x="54"/>
        <item x="237"/>
        <item x="88"/>
        <item x="720"/>
        <item x="922"/>
        <item x="799"/>
        <item x="301"/>
        <item x="351"/>
        <item x="909"/>
        <item x="854"/>
        <item x="49"/>
        <item x="460"/>
        <item x="116"/>
        <item x="105"/>
        <item x="224"/>
        <item x="380"/>
        <item x="326"/>
        <item x="429"/>
        <item x="798"/>
        <item x="575"/>
        <item x="388"/>
        <item x="883"/>
        <item x="257"/>
        <item x="877"/>
        <item x="950"/>
        <item x="610"/>
        <item x="472"/>
        <item x="812"/>
        <item x="649"/>
        <item x="184"/>
        <item x="10"/>
        <item x="265"/>
        <item x="82"/>
        <item x="2"/>
        <item x="60"/>
        <item x="286"/>
        <item x="904"/>
        <item x="434"/>
        <item x="399"/>
        <item x="369"/>
        <item x="692"/>
        <item x="534"/>
        <item x="330"/>
        <item x="215"/>
        <item x="336"/>
        <item x="630"/>
        <item x="836"/>
        <item x="355"/>
        <item x="196"/>
        <item x="136"/>
        <item x="0"/>
        <item x="223"/>
        <item x="308"/>
        <item x="394"/>
        <item x="132"/>
        <item x="477"/>
        <item x="340"/>
        <item x="553"/>
        <item x="952"/>
        <item x="825"/>
        <item x="980"/>
        <item x="550"/>
        <item x="729"/>
        <item x="532"/>
        <item x="114"/>
        <item x="413"/>
        <item x="502"/>
        <item x="400"/>
        <item x="582"/>
        <item x="178"/>
        <item x="695"/>
        <item x="541"/>
        <item x="32"/>
        <item x="765"/>
        <item x="313"/>
        <item x="789"/>
        <item x="996"/>
        <item x="12"/>
        <item x="212"/>
        <item x="507"/>
        <item x="871"/>
        <item x="804"/>
        <item x="930"/>
        <item x="899"/>
        <item x="37"/>
        <item x="317"/>
        <item x="13"/>
        <item x="487"/>
        <item x="719"/>
        <item x="679"/>
        <item x="342"/>
        <item x="230"/>
        <item x="274"/>
        <item x="192"/>
        <item x="955"/>
        <item x="457"/>
        <item x="300"/>
        <item x="137"/>
        <item x="858"/>
        <item x="420"/>
        <item x="455"/>
        <item x="951"/>
        <item x="214"/>
        <item x="1001"/>
        <item x="988"/>
        <item x="294"/>
        <item x="36"/>
        <item x="939"/>
        <item x="795"/>
        <item x="189"/>
        <item x="685"/>
        <item x="868"/>
        <item x="383"/>
        <item x="109"/>
        <item x="625"/>
        <item x="372"/>
        <item x="321"/>
        <item x="449"/>
        <item x="946"/>
        <item x="350"/>
        <item x="859"/>
        <item x="320"/>
        <item x="418"/>
        <item x="849"/>
        <item x="238"/>
        <item x="127"/>
        <item x="567"/>
        <item x="211"/>
        <item x="718"/>
        <item x="139"/>
        <item x="560"/>
        <item x="981"/>
        <item x="886"/>
        <item x="379"/>
        <item x="361"/>
        <item x="925"/>
        <item x="531"/>
        <item x="612"/>
        <item x="389"/>
        <item x="753"/>
        <item x="785"/>
        <item x="6"/>
        <item x="777"/>
        <item x="791"/>
        <item x="198"/>
        <item x="1017"/>
        <item x="656"/>
        <item x="112"/>
        <item x="110"/>
        <item x="38"/>
        <item x="945"/>
        <item x="796"/>
        <item x="917"/>
        <item x="446"/>
        <item x="629"/>
        <item x="157"/>
        <item x="281"/>
        <item x="187"/>
        <item x="4"/>
        <item x="398"/>
        <item x="878"/>
        <item x="884"/>
        <item x="207"/>
        <item x="199"/>
        <item x="847"/>
        <item x="283"/>
        <item x="324"/>
        <item x="79"/>
        <item x="341"/>
        <item x="867"/>
        <item x="700"/>
        <item x="537"/>
        <item x="697"/>
        <item x="631"/>
        <item x="606"/>
        <item x="84"/>
        <item x="180"/>
        <item x="391"/>
        <item x="763"/>
        <item x="401"/>
        <item x="44"/>
        <item x="75"/>
        <item x="404"/>
        <item x="468"/>
        <item x="263"/>
        <item x="817"/>
        <item x="903"/>
        <item x="272"/>
        <item x="879"/>
        <item x="1009"/>
        <item x="984"/>
        <item x="545"/>
        <item x="845"/>
        <item x="742"/>
        <item x="346"/>
        <item x="396"/>
        <item x="470"/>
        <item x="617"/>
        <item x="378"/>
        <item x="412"/>
        <item x="862"/>
        <item x="235"/>
        <item x="770"/>
        <item x="969"/>
        <item x="307"/>
        <item x="221"/>
        <item x="997"/>
        <item x="453"/>
        <item x="511"/>
        <item x="1015"/>
        <item x="797"/>
        <item x="7"/>
        <item x="231"/>
        <item x="856"/>
        <item x="154"/>
        <item x="572"/>
        <item x="364"/>
        <item x="963"/>
        <item x="512"/>
        <item x="228"/>
        <item x="122"/>
        <item x="892"/>
        <item x="674"/>
        <item x="185"/>
        <item x="741"/>
        <item x="678"/>
        <item x="163"/>
        <item x="298"/>
        <item x="839"/>
        <item x="337"/>
        <item x="658"/>
        <item x="164"/>
        <item x="921"/>
        <item x="53"/>
        <item x="838"/>
        <item x="73"/>
        <item x="748"/>
        <item x="447"/>
        <item x="1013"/>
        <item x="104"/>
        <item x="671"/>
        <item x="304"/>
        <item x="273"/>
        <item x="395"/>
        <item x="277"/>
        <item x="837"/>
        <item x="831"/>
        <item x="645"/>
        <item x="959"/>
        <item x="960"/>
        <item x="597"/>
        <item x="130"/>
        <item x="555"/>
        <item x="701"/>
        <item x="5"/>
        <item x="242"/>
        <item x="172"/>
        <item x="95"/>
        <item x="48"/>
        <item x="639"/>
        <item x="72"/>
        <item x="62"/>
        <item x="63"/>
        <item x="686"/>
        <item x="732"/>
        <item x="619"/>
        <item x="600"/>
        <item x="603"/>
        <item x="108"/>
        <item x="627"/>
        <item x="111"/>
        <item x="51"/>
        <item x="1003"/>
        <item x="182"/>
        <item x="776"/>
        <item x="788"/>
        <item x="14"/>
        <item x="125"/>
        <item x="439"/>
        <item x="894"/>
        <item x="585"/>
        <item x="974"/>
        <item x="280"/>
        <item x="149"/>
        <item x="746"/>
        <item x="778"/>
        <item x="865"/>
        <item x="684"/>
        <item x="347"/>
        <item x="152"/>
        <item x="915"/>
        <item x="745"/>
        <item x="385"/>
        <item x="766"/>
        <item x="240"/>
        <item x="203"/>
        <item x="699"/>
        <item x="731"/>
        <item x="540"/>
        <item x="706"/>
        <item x="626"/>
        <item x="688"/>
        <item x="89"/>
        <item x="944"/>
        <item x="910"/>
        <item x="57"/>
        <item x="516"/>
        <item x="793"/>
        <item x="694"/>
        <item x="640"/>
        <item x="475"/>
        <item x="55"/>
        <item x="526"/>
        <item x="807"/>
        <item x="696"/>
        <item x="906"/>
        <item x="566"/>
        <item x="985"/>
        <item x="377"/>
        <item x="454"/>
        <item x="924"/>
        <item x="161"/>
        <item x="581"/>
        <item x="727"/>
        <item x="416"/>
        <item x="296"/>
        <item x="50"/>
        <item x="290"/>
        <item x="539"/>
        <item x="901"/>
        <item x="510"/>
        <item x="271"/>
        <item x="491"/>
        <item x="851"/>
        <item x="730"/>
        <item x="992"/>
        <item x="431"/>
        <item x="297"/>
        <item x="177"/>
        <item x="820"/>
        <item x="769"/>
        <item x="657"/>
        <item x="247"/>
        <item x="181"/>
        <item x="998"/>
        <item x="465"/>
        <item x="158"/>
        <item x="85"/>
        <item x="35"/>
        <item x="850"/>
        <item x="668"/>
        <item x="334"/>
        <item x="344"/>
        <item x="514"/>
        <item x="759"/>
        <item x="636"/>
        <item x="1007"/>
        <item x="493"/>
        <item x="1008"/>
        <item x="948"/>
        <item x="327"/>
        <item x="933"/>
        <item x="278"/>
        <item x="123"/>
        <item x="295"/>
        <item x="259"/>
        <item x="596"/>
        <item x="440"/>
        <item x="68"/>
        <item x="276"/>
        <item x="593"/>
        <item x="188"/>
        <item x="205"/>
        <item x="670"/>
        <item x="467"/>
        <item x="1004"/>
        <item x="613"/>
        <item x="248"/>
        <item x="202"/>
        <item x="896"/>
        <item x="18"/>
        <item x="907"/>
        <item x="229"/>
        <item x="175"/>
        <item x="138"/>
        <item x="570"/>
        <item x="39"/>
        <item x="233"/>
        <item x="592"/>
        <item x="260"/>
        <item x="71"/>
        <item x="115"/>
        <item x="17"/>
        <item x="103"/>
        <item x="962"/>
        <item x="27"/>
        <item x="246"/>
        <item x="813"/>
        <item x="848"/>
        <item x="428"/>
        <item x="359"/>
        <item x="270"/>
        <item x="667"/>
        <item x="830"/>
        <item x="672"/>
        <item x="705"/>
        <item x="144"/>
        <item x="147"/>
        <item x="253"/>
        <item x="150"/>
        <item x="866"/>
        <item x="832"/>
        <item x="59"/>
        <item x="328"/>
        <item x="517"/>
        <item x="844"/>
        <item x="99"/>
        <item x="415"/>
        <item x="561"/>
        <item x="368"/>
        <item x="809"/>
        <item x="520"/>
        <item x="390"/>
        <item x="827"/>
        <item x="931"/>
        <item x="754"/>
        <item x="779"/>
        <item x="548"/>
        <item x="268"/>
        <item x="976"/>
        <item x="65"/>
        <item x="681"/>
        <item x="217"/>
        <item x="941"/>
        <item x="937"/>
        <item x="365"/>
        <item x="258"/>
        <item x="1006"/>
        <item x="338"/>
        <item x="580"/>
        <item x="480"/>
        <item x="880"/>
        <item x="739"/>
        <item x="957"/>
        <item x="41"/>
        <item x="775"/>
        <item x="881"/>
        <item x="183"/>
        <item x="1005"/>
        <item x="366"/>
        <item x="544"/>
        <item x="605"/>
        <item x="141"/>
        <item x="929"/>
        <item x="381"/>
        <item x="9"/>
        <item x="584"/>
        <item x="146"/>
        <item x="131"/>
        <item x="482"/>
        <item x="176"/>
        <item x="421"/>
        <item x="648"/>
        <item x="504"/>
        <item x="702"/>
        <item x="940"/>
        <item x="918"/>
        <item x="168"/>
        <item x="173"/>
        <item x="135"/>
        <item x="707"/>
        <item x="757"/>
        <item x="652"/>
        <item x="461"/>
        <item x="822"/>
        <item x="252"/>
        <item x="938"/>
        <item x="835"/>
        <item x="735"/>
        <item x="714"/>
        <item x="499"/>
        <item x="159"/>
        <item x="373"/>
        <item x="94"/>
        <item x="913"/>
        <item x="551"/>
        <item x="576"/>
        <item x="715"/>
        <item x="977"/>
        <item x="682"/>
        <item x="964"/>
        <item x="29"/>
        <item x="842"/>
        <item x="8"/>
        <item x="873"/>
        <item x="768"/>
        <item x="771"/>
        <item x="15"/>
        <item x="591"/>
        <item x="806"/>
        <item x="927"/>
        <item x="357"/>
        <item x="536"/>
        <item x="860"/>
        <item t="default"/>
      </items>
    </pivotField>
    <pivotField axis="axisRow" showAll="0">
      <items count="21">
        <item x="7"/>
        <item x="13"/>
        <item x="11"/>
        <item h="1" x="15"/>
        <item h="1" x="19"/>
        <item h="1" x="8"/>
        <item h="1" x="3"/>
        <item h="1" x="5"/>
        <item h="1" x="1"/>
        <item h="1" x="2"/>
        <item h="1" x="17"/>
        <item h="1" x="18"/>
        <item h="1" x="6"/>
        <item h="1" x="4"/>
        <item h="1" x="10"/>
        <item h="1" x="0"/>
        <item h="1" x="12"/>
        <item h="1" x="14"/>
        <item h="1" x="16"/>
        <item h="1" x="9"/>
        <item t="default"/>
      </items>
    </pivotField>
    <pivotField showAll="0">
      <items count="7">
        <item sd="0" x="1"/>
        <item sd="0" x="4"/>
        <item sd="0" x="5"/>
        <item sd="0" x="0"/>
        <item sd="0" x="3"/>
        <item sd="0" x="2"/>
        <item t="default"/>
      </items>
    </pivotField>
    <pivotField axis="axisCol" showAll="0">
      <items count="6">
        <item x="3"/>
        <item x="2"/>
        <item x="0"/>
        <item x="4"/>
        <item x="1"/>
        <item t="default"/>
      </items>
    </pivotField>
    <pivotField dataField="1" showAll="0"/>
    <pivotField showAll="0"/>
    <pivotField showAll="0"/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antidad" fld="4" baseField="9" baseItem="0" numFmtId="1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829D0-9840-437F-B75F-569DAD61D44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compact="0" outline="1" outlineData="1" compactData="0" multipleFieldFilters="0">
  <location ref="A3:AF12" firstHeaderRow="1" firstDataRow="3" firstDataCol="1"/>
  <pivotFields count="10">
    <pivotField compact="0" numFmtId="14" showAll="0">
      <items count="1019">
        <item x="549"/>
        <item x="562"/>
        <item x="876"/>
        <item x="448"/>
        <item x="673"/>
        <item x="349"/>
        <item x="492"/>
        <item x="634"/>
        <item x="999"/>
        <item x="397"/>
        <item x="64"/>
        <item x="527"/>
        <item x="269"/>
        <item x="437"/>
        <item x="756"/>
        <item x="978"/>
        <item x="134"/>
        <item x="375"/>
        <item x="93"/>
        <item x="495"/>
        <item x="675"/>
        <item x="430"/>
        <item x="642"/>
        <item x="392"/>
        <item x="752"/>
        <item x="16"/>
        <item x="443"/>
        <item x="802"/>
        <item x="571"/>
        <item x="1000"/>
        <item x="91"/>
        <item x="74"/>
        <item x="474"/>
        <item x="594"/>
        <item x="993"/>
        <item x="86"/>
        <item x="508"/>
        <item x="481"/>
        <item x="315"/>
        <item x="840"/>
        <item x="193"/>
        <item x="803"/>
        <item x="528"/>
        <item x="558"/>
        <item x="292"/>
        <item x="353"/>
        <item x="166"/>
        <item x="979"/>
        <item x="102"/>
        <item x="438"/>
        <item x="486"/>
        <item x="556"/>
        <item x="564"/>
        <item x="143"/>
        <item x="113"/>
        <item x="966"/>
        <item x="275"/>
        <item x="554"/>
        <item x="902"/>
        <item x="905"/>
        <item x="547"/>
        <item x="43"/>
        <item x="408"/>
        <item x="427"/>
        <item x="664"/>
        <item x="869"/>
        <item x="227"/>
        <item x="818"/>
        <item x="578"/>
        <item x="287"/>
        <item x="424"/>
        <item x="92"/>
        <item x="284"/>
        <item x="677"/>
        <item x="975"/>
        <item x="362"/>
        <item x="912"/>
        <item x="669"/>
        <item x="345"/>
        <item x="828"/>
        <item x="889"/>
        <item x="213"/>
        <item x="676"/>
        <item x="524"/>
        <item x="958"/>
        <item x="30"/>
        <item x="599"/>
        <item x="557"/>
        <item x="857"/>
        <item x="743"/>
        <item x="501"/>
        <item x="425"/>
        <item x="22"/>
        <item x="942"/>
        <item x="423"/>
        <item x="186"/>
        <item x="70"/>
        <item x="450"/>
        <item x="201"/>
        <item x="129"/>
        <item x="611"/>
        <item x="452"/>
        <item x="497"/>
        <item x="552"/>
        <item x="744"/>
        <item x="736"/>
        <item x="403"/>
        <item x="442"/>
        <item x="194"/>
        <item x="209"/>
        <item x="821"/>
        <item x="751"/>
        <item x="78"/>
        <item x="568"/>
        <item x="734"/>
        <item x="288"/>
        <item x="335"/>
        <item x="805"/>
        <item x="386"/>
        <item x="204"/>
        <item x="106"/>
        <item x="635"/>
        <item x="535"/>
        <item x="794"/>
        <item x="970"/>
        <item x="622"/>
        <item x="911"/>
        <item x="46"/>
        <item x="407"/>
        <item x="808"/>
        <item x="888"/>
        <item x="444"/>
        <item x="621"/>
        <item x="787"/>
        <item x="312"/>
        <item x="1002"/>
        <item x="824"/>
        <item x="712"/>
        <item x="76"/>
        <item x="650"/>
        <item x="436"/>
        <item x="659"/>
        <item x="760"/>
        <item x="590"/>
        <item x="709"/>
        <item x="156"/>
        <item x="153"/>
        <item x="262"/>
        <item x="83"/>
        <item x="601"/>
        <item x="279"/>
        <item x="633"/>
        <item x="780"/>
        <item x="81"/>
        <item x="826"/>
        <item x="245"/>
        <item x="973"/>
        <item x="1016"/>
        <item x="382"/>
        <item x="559"/>
        <item x="140"/>
        <item x="588"/>
        <item x="565"/>
        <item x="823"/>
        <item x="45"/>
        <item x="417"/>
        <item x="26"/>
        <item x="708"/>
        <item x="191"/>
        <item x="618"/>
        <item x="589"/>
        <item x="489"/>
        <item x="473"/>
        <item x="162"/>
        <item x="774"/>
        <item x="646"/>
        <item x="331"/>
        <item x="663"/>
        <item x="920"/>
        <item x="864"/>
        <item x="254"/>
        <item x="792"/>
        <item x="815"/>
        <item x="790"/>
        <item x="325"/>
        <item x="239"/>
        <item x="602"/>
        <item x="870"/>
        <item x="651"/>
        <item x="698"/>
        <item x="463"/>
        <item x="747"/>
        <item x="577"/>
        <item x="638"/>
        <item x="77"/>
        <item x="519"/>
        <item x="20"/>
        <item x="302"/>
        <item x="900"/>
        <item x="693"/>
        <item x="28"/>
        <item x="498"/>
        <item x="348"/>
        <item x="810"/>
        <item x="653"/>
        <item x="661"/>
        <item x="370"/>
        <item x="285"/>
        <item x="24"/>
        <item x="393"/>
        <item x="31"/>
        <item x="604"/>
        <item x="733"/>
        <item x="811"/>
        <item x="469"/>
        <item x="303"/>
        <item x="872"/>
        <item x="782"/>
        <item x="11"/>
        <item x="200"/>
        <item x="1012"/>
        <item x="971"/>
        <item x="932"/>
        <item x="953"/>
        <item x="426"/>
        <item x="783"/>
        <item x="69"/>
        <item x="914"/>
        <item x="483"/>
        <item x="990"/>
        <item x="949"/>
        <item x="647"/>
        <item x="148"/>
        <item x="655"/>
        <item x="484"/>
        <item x="441"/>
        <item x="961"/>
        <item x="435"/>
        <item x="376"/>
        <item x="478"/>
        <item x="282"/>
        <item x="305"/>
        <item x="311"/>
        <item x="738"/>
        <item x="852"/>
        <item x="982"/>
        <item x="165"/>
        <item x="579"/>
        <item x="737"/>
        <item x="251"/>
        <item x="874"/>
        <item x="983"/>
        <item x="928"/>
        <item x="761"/>
        <item x="363"/>
        <item x="609"/>
        <item x="496"/>
        <item x="21"/>
        <item x="476"/>
        <item x="583"/>
        <item x="266"/>
        <item x="891"/>
        <item x="133"/>
        <item x="885"/>
        <item x="190"/>
        <item x="687"/>
        <item x="494"/>
        <item x="1010"/>
        <item x="1011"/>
        <item x="538"/>
        <item x="243"/>
        <item x="522"/>
        <item x="749"/>
        <item x="267"/>
        <item x="97"/>
        <item x="220"/>
        <item x="750"/>
        <item x="309"/>
        <item x="118"/>
        <item x="299"/>
        <item x="232"/>
        <item x="458"/>
        <item x="167"/>
        <item x="256"/>
        <item x="529"/>
        <item x="956"/>
        <item x="179"/>
        <item x="142"/>
        <item x="1"/>
        <item x="56"/>
        <item x="354"/>
        <item x="264"/>
        <item x="319"/>
        <item x="703"/>
        <item x="726"/>
        <item x="758"/>
        <item x="387"/>
        <item x="573"/>
        <item x="833"/>
        <item x="569"/>
        <item x="898"/>
        <item x="411"/>
        <item x="128"/>
        <item x="513"/>
        <item x="523"/>
        <item x="234"/>
        <item x="119"/>
        <item x="620"/>
        <item x="967"/>
        <item x="42"/>
        <item x="784"/>
        <item x="936"/>
        <item x="218"/>
        <item x="120"/>
        <item x="995"/>
        <item x="151"/>
        <item x="586"/>
        <item x="515"/>
        <item x="195"/>
        <item x="358"/>
        <item x="843"/>
        <item x="236"/>
        <item x="607"/>
        <item x="318"/>
        <item x="660"/>
        <item x="608"/>
        <item x="934"/>
        <item x="855"/>
        <item x="406"/>
        <item x="710"/>
        <item x="464"/>
        <item x="98"/>
        <item x="409"/>
        <item x="466"/>
        <item x="800"/>
        <item x="356"/>
        <item x="174"/>
        <item x="80"/>
        <item x="352"/>
        <item x="422"/>
        <item x="994"/>
        <item x="897"/>
        <item x="226"/>
        <item x="456"/>
        <item x="680"/>
        <item x="643"/>
        <item x="972"/>
        <item x="505"/>
        <item x="624"/>
        <item x="414"/>
        <item x="222"/>
        <item x="488"/>
        <item x="533"/>
        <item x="772"/>
        <item x="525"/>
        <item x="384"/>
        <item x="323"/>
        <item x="887"/>
        <item x="261"/>
        <item x="574"/>
        <item x="713"/>
        <item x="33"/>
        <item x="542"/>
        <item x="216"/>
        <item x="374"/>
        <item x="34"/>
        <item x="890"/>
        <item x="740"/>
        <item x="479"/>
        <item x="875"/>
        <item x="160"/>
        <item x="225"/>
        <item x="101"/>
        <item x="170"/>
        <item x="704"/>
        <item x="210"/>
        <item x="767"/>
        <item x="546"/>
        <item x="861"/>
        <item x="459"/>
        <item x="654"/>
        <item x="291"/>
        <item x="690"/>
        <item x="665"/>
        <item x="58"/>
        <item x="503"/>
        <item x="595"/>
        <item x="490"/>
        <item x="841"/>
        <item x="863"/>
        <item x="829"/>
        <item x="755"/>
        <item x="986"/>
        <item x="846"/>
        <item x="989"/>
        <item x="923"/>
        <item x="518"/>
        <item x="721"/>
        <item x="717"/>
        <item x="255"/>
        <item x="773"/>
        <item x="723"/>
        <item x="432"/>
        <item x="814"/>
        <item x="644"/>
        <item x="197"/>
        <item x="615"/>
        <item x="641"/>
        <item x="61"/>
        <item x="968"/>
        <item x="333"/>
        <item x="991"/>
        <item x="816"/>
        <item x="725"/>
        <item x="500"/>
        <item x="107"/>
        <item x="632"/>
        <item x="728"/>
        <item x="322"/>
        <item x="405"/>
        <item x="935"/>
        <item x="310"/>
        <item x="462"/>
        <item x="471"/>
        <item x="598"/>
        <item x="90"/>
        <item x="52"/>
        <item x="171"/>
        <item x="66"/>
        <item x="637"/>
        <item x="689"/>
        <item x="916"/>
        <item x="762"/>
        <item x="316"/>
        <item x="666"/>
        <item x="895"/>
        <item x="764"/>
        <item x="67"/>
        <item x="121"/>
        <item x="244"/>
        <item x="433"/>
        <item x="616"/>
        <item x="155"/>
        <item x="241"/>
        <item x="530"/>
        <item x="306"/>
        <item x="786"/>
        <item x="47"/>
        <item x="360"/>
        <item x="117"/>
        <item x="628"/>
        <item x="100"/>
        <item x="293"/>
        <item x="145"/>
        <item x="724"/>
        <item x="96"/>
        <item x="882"/>
        <item x="485"/>
        <item x="543"/>
        <item x="23"/>
        <item x="169"/>
        <item x="587"/>
        <item x="509"/>
        <item x="419"/>
        <item x="445"/>
        <item x="691"/>
        <item x="521"/>
        <item x="367"/>
        <item x="249"/>
        <item x="563"/>
        <item x="126"/>
        <item x="87"/>
        <item x="208"/>
        <item x="965"/>
        <item x="339"/>
        <item x="919"/>
        <item x="947"/>
        <item x="343"/>
        <item x="683"/>
        <item x="124"/>
        <item x="332"/>
        <item x="893"/>
        <item x="781"/>
        <item x="19"/>
        <item x="819"/>
        <item x="329"/>
        <item x="853"/>
        <item x="289"/>
        <item x="716"/>
        <item x="40"/>
        <item x="926"/>
        <item x="943"/>
        <item x="250"/>
        <item x="614"/>
        <item x="451"/>
        <item x="711"/>
        <item x="623"/>
        <item x="206"/>
        <item x="314"/>
        <item x="954"/>
        <item x="987"/>
        <item x="722"/>
        <item x="834"/>
        <item x="662"/>
        <item x="801"/>
        <item x="371"/>
        <item x="3"/>
        <item x="25"/>
        <item x="1014"/>
        <item x="908"/>
        <item x="219"/>
        <item x="506"/>
        <item x="410"/>
        <item x="402"/>
        <item x="54"/>
        <item x="237"/>
        <item x="88"/>
        <item x="720"/>
        <item x="922"/>
        <item x="799"/>
        <item x="301"/>
        <item x="351"/>
        <item x="909"/>
        <item x="854"/>
        <item x="49"/>
        <item x="460"/>
        <item x="116"/>
        <item x="105"/>
        <item x="224"/>
        <item x="380"/>
        <item x="326"/>
        <item x="429"/>
        <item x="798"/>
        <item x="575"/>
        <item x="388"/>
        <item x="883"/>
        <item x="257"/>
        <item x="877"/>
        <item x="950"/>
        <item x="610"/>
        <item x="472"/>
        <item x="812"/>
        <item x="649"/>
        <item x="184"/>
        <item x="10"/>
        <item x="265"/>
        <item x="82"/>
        <item x="2"/>
        <item x="60"/>
        <item x="286"/>
        <item x="904"/>
        <item x="434"/>
        <item x="399"/>
        <item x="369"/>
        <item x="692"/>
        <item x="534"/>
        <item x="330"/>
        <item x="215"/>
        <item x="336"/>
        <item x="630"/>
        <item x="836"/>
        <item x="355"/>
        <item x="196"/>
        <item x="136"/>
        <item x="0"/>
        <item x="223"/>
        <item x="308"/>
        <item x="394"/>
        <item x="132"/>
        <item x="477"/>
        <item x="340"/>
        <item x="553"/>
        <item x="952"/>
        <item x="825"/>
        <item x="980"/>
        <item x="550"/>
        <item x="729"/>
        <item x="532"/>
        <item x="114"/>
        <item x="413"/>
        <item x="502"/>
        <item x="400"/>
        <item x="582"/>
        <item x="178"/>
        <item x="695"/>
        <item x="541"/>
        <item x="32"/>
        <item x="765"/>
        <item x="313"/>
        <item x="789"/>
        <item x="996"/>
        <item x="12"/>
        <item x="212"/>
        <item x="507"/>
        <item x="871"/>
        <item x="804"/>
        <item x="930"/>
        <item x="899"/>
        <item x="37"/>
        <item x="317"/>
        <item x="13"/>
        <item x="487"/>
        <item x="719"/>
        <item x="679"/>
        <item x="342"/>
        <item x="230"/>
        <item x="274"/>
        <item x="192"/>
        <item x="955"/>
        <item x="457"/>
        <item x="300"/>
        <item x="137"/>
        <item x="858"/>
        <item x="420"/>
        <item x="455"/>
        <item x="951"/>
        <item x="214"/>
        <item x="1001"/>
        <item x="988"/>
        <item x="294"/>
        <item x="36"/>
        <item x="939"/>
        <item x="795"/>
        <item x="189"/>
        <item x="685"/>
        <item x="868"/>
        <item x="383"/>
        <item x="109"/>
        <item x="625"/>
        <item x="372"/>
        <item x="321"/>
        <item x="449"/>
        <item x="946"/>
        <item x="350"/>
        <item x="859"/>
        <item x="320"/>
        <item x="418"/>
        <item x="849"/>
        <item x="238"/>
        <item x="127"/>
        <item x="567"/>
        <item x="211"/>
        <item x="718"/>
        <item x="139"/>
        <item x="560"/>
        <item x="981"/>
        <item x="886"/>
        <item x="379"/>
        <item x="361"/>
        <item x="925"/>
        <item x="531"/>
        <item x="612"/>
        <item x="389"/>
        <item x="753"/>
        <item x="785"/>
        <item x="6"/>
        <item x="777"/>
        <item x="791"/>
        <item x="198"/>
        <item x="1017"/>
        <item x="656"/>
        <item x="112"/>
        <item x="110"/>
        <item x="38"/>
        <item x="945"/>
        <item x="796"/>
        <item x="917"/>
        <item x="446"/>
        <item x="629"/>
        <item x="157"/>
        <item x="281"/>
        <item x="187"/>
        <item x="4"/>
        <item x="398"/>
        <item x="878"/>
        <item x="884"/>
        <item x="207"/>
        <item x="199"/>
        <item x="847"/>
        <item x="283"/>
        <item x="324"/>
        <item x="79"/>
        <item x="341"/>
        <item x="867"/>
        <item x="700"/>
        <item x="537"/>
        <item x="697"/>
        <item x="631"/>
        <item x="606"/>
        <item x="84"/>
        <item x="180"/>
        <item x="391"/>
        <item x="763"/>
        <item x="401"/>
        <item x="44"/>
        <item x="75"/>
        <item x="404"/>
        <item x="468"/>
        <item x="263"/>
        <item x="817"/>
        <item x="903"/>
        <item x="272"/>
        <item x="879"/>
        <item x="1009"/>
        <item x="984"/>
        <item x="545"/>
        <item x="845"/>
        <item x="742"/>
        <item x="346"/>
        <item x="396"/>
        <item x="470"/>
        <item x="617"/>
        <item x="378"/>
        <item x="412"/>
        <item x="862"/>
        <item x="235"/>
        <item x="770"/>
        <item x="969"/>
        <item x="307"/>
        <item x="221"/>
        <item x="997"/>
        <item x="453"/>
        <item x="511"/>
        <item x="1015"/>
        <item x="797"/>
        <item x="7"/>
        <item x="231"/>
        <item x="856"/>
        <item x="154"/>
        <item x="572"/>
        <item x="364"/>
        <item x="963"/>
        <item x="512"/>
        <item x="228"/>
        <item x="122"/>
        <item x="892"/>
        <item x="674"/>
        <item x="185"/>
        <item x="741"/>
        <item x="678"/>
        <item x="163"/>
        <item x="298"/>
        <item x="839"/>
        <item x="337"/>
        <item x="658"/>
        <item x="164"/>
        <item x="921"/>
        <item x="53"/>
        <item x="838"/>
        <item x="73"/>
        <item x="748"/>
        <item x="447"/>
        <item x="1013"/>
        <item x="104"/>
        <item x="671"/>
        <item x="304"/>
        <item x="273"/>
        <item x="395"/>
        <item x="277"/>
        <item x="837"/>
        <item x="831"/>
        <item x="645"/>
        <item x="959"/>
        <item x="960"/>
        <item x="597"/>
        <item x="130"/>
        <item x="555"/>
        <item x="701"/>
        <item x="5"/>
        <item x="242"/>
        <item x="172"/>
        <item x="95"/>
        <item x="48"/>
        <item x="639"/>
        <item x="72"/>
        <item x="62"/>
        <item x="63"/>
        <item x="686"/>
        <item x="732"/>
        <item x="619"/>
        <item x="600"/>
        <item x="603"/>
        <item x="108"/>
        <item x="627"/>
        <item x="111"/>
        <item x="51"/>
        <item x="1003"/>
        <item x="182"/>
        <item x="776"/>
        <item x="788"/>
        <item x="14"/>
        <item x="125"/>
        <item x="439"/>
        <item x="894"/>
        <item x="585"/>
        <item x="974"/>
        <item x="280"/>
        <item x="149"/>
        <item x="746"/>
        <item x="778"/>
        <item x="865"/>
        <item x="684"/>
        <item x="347"/>
        <item x="152"/>
        <item x="915"/>
        <item x="745"/>
        <item x="385"/>
        <item x="766"/>
        <item x="240"/>
        <item x="203"/>
        <item x="699"/>
        <item x="731"/>
        <item x="540"/>
        <item x="706"/>
        <item x="626"/>
        <item x="688"/>
        <item x="89"/>
        <item x="944"/>
        <item x="910"/>
        <item x="57"/>
        <item x="516"/>
        <item x="793"/>
        <item x="694"/>
        <item x="640"/>
        <item x="475"/>
        <item x="55"/>
        <item x="526"/>
        <item x="807"/>
        <item x="696"/>
        <item x="906"/>
        <item x="566"/>
        <item x="985"/>
        <item x="377"/>
        <item x="454"/>
        <item x="924"/>
        <item x="161"/>
        <item x="581"/>
        <item x="727"/>
        <item x="416"/>
        <item x="296"/>
        <item x="50"/>
        <item x="290"/>
        <item x="539"/>
        <item x="901"/>
        <item x="510"/>
        <item x="271"/>
        <item x="491"/>
        <item x="851"/>
        <item x="730"/>
        <item x="992"/>
        <item x="431"/>
        <item x="297"/>
        <item x="177"/>
        <item x="820"/>
        <item x="769"/>
        <item x="657"/>
        <item x="247"/>
        <item x="181"/>
        <item x="998"/>
        <item x="465"/>
        <item x="158"/>
        <item x="85"/>
        <item x="35"/>
        <item x="850"/>
        <item x="668"/>
        <item x="334"/>
        <item x="344"/>
        <item x="514"/>
        <item x="759"/>
        <item x="636"/>
        <item x="1007"/>
        <item x="493"/>
        <item x="1008"/>
        <item x="948"/>
        <item x="327"/>
        <item x="933"/>
        <item x="278"/>
        <item x="123"/>
        <item x="295"/>
        <item x="259"/>
        <item x="596"/>
        <item x="440"/>
        <item x="68"/>
        <item x="276"/>
        <item x="593"/>
        <item x="188"/>
        <item x="205"/>
        <item x="670"/>
        <item x="467"/>
        <item x="1004"/>
        <item x="613"/>
        <item x="248"/>
        <item x="202"/>
        <item x="896"/>
        <item x="18"/>
        <item x="907"/>
        <item x="229"/>
        <item x="175"/>
        <item x="138"/>
        <item x="570"/>
        <item x="39"/>
        <item x="233"/>
        <item x="592"/>
        <item x="260"/>
        <item x="71"/>
        <item x="115"/>
        <item x="17"/>
        <item x="103"/>
        <item x="962"/>
        <item x="27"/>
        <item x="246"/>
        <item x="813"/>
        <item x="848"/>
        <item x="428"/>
        <item x="359"/>
        <item x="270"/>
        <item x="667"/>
        <item x="830"/>
        <item x="672"/>
        <item x="705"/>
        <item x="144"/>
        <item x="147"/>
        <item x="253"/>
        <item x="150"/>
        <item x="866"/>
        <item x="832"/>
        <item x="59"/>
        <item x="328"/>
        <item x="517"/>
        <item x="844"/>
        <item x="99"/>
        <item x="415"/>
        <item x="561"/>
        <item x="368"/>
        <item x="809"/>
        <item x="520"/>
        <item x="390"/>
        <item x="827"/>
        <item x="931"/>
        <item x="754"/>
        <item x="779"/>
        <item x="548"/>
        <item x="268"/>
        <item x="976"/>
        <item x="65"/>
        <item x="681"/>
        <item x="217"/>
        <item x="941"/>
        <item x="937"/>
        <item x="365"/>
        <item x="258"/>
        <item x="1006"/>
        <item x="338"/>
        <item x="580"/>
        <item x="480"/>
        <item x="880"/>
        <item x="739"/>
        <item x="957"/>
        <item x="41"/>
        <item x="775"/>
        <item x="881"/>
        <item x="183"/>
        <item x="1005"/>
        <item x="366"/>
        <item x="544"/>
        <item x="605"/>
        <item x="141"/>
        <item x="929"/>
        <item x="381"/>
        <item x="9"/>
        <item x="584"/>
        <item x="146"/>
        <item x="131"/>
        <item x="482"/>
        <item x="176"/>
        <item x="421"/>
        <item x="648"/>
        <item x="504"/>
        <item x="702"/>
        <item x="940"/>
        <item x="918"/>
        <item x="168"/>
        <item x="173"/>
        <item x="135"/>
        <item x="707"/>
        <item x="757"/>
        <item x="652"/>
        <item x="461"/>
        <item x="822"/>
        <item x="252"/>
        <item x="938"/>
        <item x="835"/>
        <item x="735"/>
        <item x="714"/>
        <item x="499"/>
        <item x="159"/>
        <item x="373"/>
        <item x="94"/>
        <item x="913"/>
        <item x="551"/>
        <item x="576"/>
        <item x="715"/>
        <item x="977"/>
        <item x="682"/>
        <item x="964"/>
        <item x="29"/>
        <item x="842"/>
        <item x="8"/>
        <item x="873"/>
        <item x="768"/>
        <item x="771"/>
        <item x="15"/>
        <item x="591"/>
        <item x="806"/>
        <item x="927"/>
        <item x="357"/>
        <item x="536"/>
        <item x="860"/>
        <item t="default"/>
      </items>
    </pivotField>
    <pivotField compact="0" showAll="0">
      <items count="21">
        <item x="7"/>
        <item x="13"/>
        <item x="11"/>
        <item x="15"/>
        <item x="19"/>
        <item x="8"/>
        <item x="3"/>
        <item x="5"/>
        <item x="1"/>
        <item x="2"/>
        <item x="17"/>
        <item x="18"/>
        <item x="6"/>
        <item x="4"/>
        <item x="10"/>
        <item x="0"/>
        <item x="12"/>
        <item x="14"/>
        <item x="16"/>
        <item x="9"/>
        <item t="default"/>
      </items>
    </pivotField>
    <pivotField axis="axisRow" compact="0" showAll="0">
      <items count="7">
        <item x="1"/>
        <item sd="0" x="4"/>
        <item sd="0" x="5"/>
        <item sd="0" x="0"/>
        <item sd="0" x="3"/>
        <item sd="0" x="2"/>
        <item t="default"/>
      </items>
    </pivotField>
    <pivotField axis="axisCol" compact="0" showAll="0">
      <items count="6">
        <item x="3"/>
        <item x="2"/>
        <item x="0"/>
        <item x="4"/>
        <item x="1"/>
        <item t="default"/>
      </items>
    </pivotField>
    <pivotField dataField="1" compact="0" showAll="0"/>
    <pivotField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Col" compact="0" showAll="0">
      <items count="9">
        <item x="0"/>
        <item sd="0" x="1"/>
        <item sd="0" x="2"/>
        <item sd="0" x="3"/>
        <item sd="0" x="4"/>
        <item sd="0" x="5"/>
        <item x="6"/>
        <item x="7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9"/>
  </colFields>
  <colItems count="31">
    <i>
      <x/>
      <x v="1"/>
    </i>
    <i r="1">
      <x v="2"/>
    </i>
    <i r="1">
      <x v="3"/>
    </i>
    <i r="1">
      <x v="4"/>
    </i>
    <i r="1">
      <x v="5"/>
    </i>
    <i t="default">
      <x/>
    </i>
    <i>
      <x v="1"/>
      <x v="1"/>
    </i>
    <i r="1">
      <x v="2"/>
    </i>
    <i r="1">
      <x v="3"/>
    </i>
    <i r="1">
      <x v="4"/>
    </i>
    <i r="1">
      <x v="5"/>
    </i>
    <i t="default">
      <x v="1"/>
    </i>
    <i>
      <x v="2"/>
      <x v="1"/>
    </i>
    <i r="1">
      <x v="2"/>
    </i>
    <i r="1">
      <x v="3"/>
    </i>
    <i r="1">
      <x v="4"/>
    </i>
    <i r="1">
      <x v="5"/>
    </i>
    <i t="default">
      <x v="2"/>
    </i>
    <i>
      <x v="3"/>
      <x v="1"/>
    </i>
    <i r="1">
      <x v="2"/>
    </i>
    <i r="1">
      <x v="3"/>
    </i>
    <i r="1">
      <x v="4"/>
    </i>
    <i r="1">
      <x v="5"/>
    </i>
    <i t="default">
      <x v="3"/>
    </i>
    <i>
      <x v="4"/>
      <x v="1"/>
    </i>
    <i r="1">
      <x v="2"/>
    </i>
    <i r="1">
      <x v="3"/>
    </i>
    <i r="1">
      <x v="4"/>
    </i>
    <i r="1">
      <x v="5"/>
    </i>
    <i t="default">
      <x v="4"/>
    </i>
    <i t="grand">
      <x/>
    </i>
  </colItems>
  <dataFields count="1">
    <dataField name="Sum of Cantidad" fld="4" baseField="0" baseItem="0" numFmtId="1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40B91-945C-4516-9DB3-FFC14ADD5263}" name="TablaDinámica3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3">
  <location ref="I3:J8" firstHeaderRow="1" firstDataRow="1" firstDataCol="1"/>
  <pivotFields count="7">
    <pivotField numFmtId="14" showAll="0"/>
    <pivotField showAll="0">
      <items count="21">
        <item x="7"/>
        <item x="13"/>
        <item x="11"/>
        <item x="15"/>
        <item x="19"/>
        <item x="8"/>
        <item x="3"/>
        <item x="5"/>
        <item x="1"/>
        <item x="2"/>
        <item x="17"/>
        <item x="18"/>
        <item x="6"/>
        <item x="4"/>
        <item x="10"/>
        <item x="0"/>
        <item x="12"/>
        <item x="14"/>
        <item x="16"/>
        <item x="9"/>
        <item t="default"/>
      </items>
    </pivotField>
    <pivotField showAll="0">
      <items count="7">
        <item x="1"/>
        <item x="4"/>
        <item x="5"/>
        <item x="0"/>
        <item x="3"/>
        <item x="2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a de Cantidad" fld="4" baseField="3" baseItem="1" numFmtId="1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F7703-8EDB-4BD6-9E16-B8064325B65A}" name="TablaDinámica2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3">
  <location ref="E3:F9" firstHeaderRow="1" firstDataRow="1" firstDataCol="1"/>
  <pivotFields count="7">
    <pivotField numFmtId="14" showAll="0"/>
    <pivotField showAll="0">
      <items count="21">
        <item x="7"/>
        <item x="13"/>
        <item x="11"/>
        <item x="15"/>
        <item x="19"/>
        <item x="8"/>
        <item x="3"/>
        <item x="5"/>
        <item x="1"/>
        <item x="2"/>
        <item x="17"/>
        <item x="18"/>
        <item x="6"/>
        <item x="4"/>
        <item x="10"/>
        <item x="0"/>
        <item x="12"/>
        <item x="14"/>
        <item x="16"/>
        <item x="9"/>
        <item t="default"/>
      </items>
    </pivotField>
    <pivotField axis="axisRow" showAll="0">
      <items count="7">
        <item x="1"/>
        <item x="4"/>
        <item x="5"/>
        <item x="0"/>
        <item x="3"/>
        <item x="2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a de Cantidad" fld="4" baseField="2" baseItem="1" numFmtId="1"/>
  </dataField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97814-587D-4E5F-B6DE-3CBA2CCCB33A}" name="TablaDinámica1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0">
  <location ref="A3:B23" firstHeaderRow="1" firstDataRow="1" firstDataCol="1"/>
  <pivotFields count="7">
    <pivotField numFmtId="14" showAll="0"/>
    <pivotField axis="axisRow" showAll="0">
      <items count="21">
        <item x="7"/>
        <item x="13"/>
        <item x="11"/>
        <item x="15"/>
        <item x="19"/>
        <item x="8"/>
        <item x="3"/>
        <item x="5"/>
        <item x="1"/>
        <item x="2"/>
        <item x="17"/>
        <item x="18"/>
        <item x="6"/>
        <item x="4"/>
        <item x="10"/>
        <item x="0"/>
        <item x="12"/>
        <item x="14"/>
        <item x="16"/>
        <item x="9"/>
        <item t="default"/>
      </items>
    </pivotField>
    <pivotField showAll="0">
      <items count="7">
        <item x="1"/>
        <item x="4"/>
        <item x="5"/>
        <item x="0"/>
        <item x="3"/>
        <item x="2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Suma de Cantidad" fld="4" baseField="1" baseItem="7" numFmtId="1"/>
  </dataFields>
  <chartFormats count="21"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EDD15832-0EEC-43EA-A387-836C9B0C2D0D}" sourceName="Provincia">
  <pivotTables>
    <pivotTable tabId="9" name="TablaDinámica1"/>
    <pivotTable tabId="9" name="TablaDinámica2"/>
    <pivotTable tabId="9" name="TablaDinámica3"/>
  </pivotTables>
  <data>
    <tabular pivotCacheId="1277335926">
      <items count="20">
        <i x="7" s="1"/>
        <i x="13" s="1"/>
        <i x="11" s="1"/>
        <i x="15" s="1"/>
        <i x="19" s="1"/>
        <i x="8" s="1"/>
        <i x="3" s="1"/>
        <i x="5" s="1"/>
        <i x="1" s="1"/>
        <i x="2" s="1"/>
        <i x="17" s="1"/>
        <i x="18" s="1"/>
        <i x="6" s="1"/>
        <i x="4" s="1"/>
        <i x="10" s="1"/>
        <i x="0" s="1"/>
        <i x="12" s="1"/>
        <i x="14" s="1"/>
        <i x="16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" xr10:uid="{A4DFD4BA-B10B-462E-8044-6EAC3ABD8036}" sourceName="Centro">
  <pivotTables>
    <pivotTable tabId="9" name="TablaDinámica2"/>
    <pivotTable tabId="9" name="TablaDinámica1"/>
    <pivotTable tabId="9" name="TablaDinámica3"/>
  </pivotTables>
  <data>
    <tabular pivotCacheId="1277335926">
      <items count="6">
        <i x="1" s="1"/>
        <i x="4" s="1"/>
        <i x="5" s="1"/>
        <i x="0" s="1"/>
        <i x="3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A2618926-6BBA-4669-9582-50D700810C61}" sourceName="Producto">
  <pivotTables>
    <pivotTable tabId="9" name="TablaDinámica3"/>
    <pivotTable tabId="9" name="TablaDinámica1"/>
    <pivotTable tabId="9" name="TablaDinámica2"/>
  </pivotTables>
  <data>
    <tabular pivotCacheId="1277335926">
      <items count="5">
        <i x="3" s="1"/>
        <i x="2" s="1"/>
        <i x="0" s="1"/>
        <i x="4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s" xr10:uid="{A19B1241-E888-4C3E-BF7D-D46D9532D635}" cache="SegmentaciónDeDatos_Provincia" caption="Provincias" startItem="4" columnCount="2" rowHeight="241300"/>
  <slicer name="Centro" xr10:uid="{73750681-FE9F-4DBB-92DF-DC26D4EA860B}" cache="SegmentaciónDeDatos_Centro" caption="Centro" columnCount="2" style="SlicerStyleLight2" rowHeight="241300"/>
  <slicer name="Producto" xr10:uid="{BFCC1EA0-F99B-48CB-8E57-DC30B0A32D6E}" cache="SegmentaciónDeDatos_Producto" caption="Producto" columnCount="2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E7C47-05B1-4292-9B45-C17923C120A1}" name="Tabla1" displayName="Tabla1" ref="A1:G1498" totalsRowShown="0">
  <autoFilter ref="A1:G1498" xr:uid="{927E7C47-05B1-4292-9B45-C17923C120A1}"/>
  <tableColumns count="7">
    <tableColumn id="1" xr3:uid="{EDEA05A8-1968-4CF2-8C1A-FB76EA319616}" name="Fecha"/>
    <tableColumn id="2" xr3:uid="{EB236D0C-A29F-4F3D-B1A4-88C5B8EFE42E}" name="Provincia"/>
    <tableColumn id="3" xr3:uid="{F5771449-DD5E-417C-AA99-6C3605034926}" name="Centro"/>
    <tableColumn id="4" xr3:uid="{9BA45272-DACE-4EFC-83C8-97F585275401}" name="Producto"/>
    <tableColumn id="5" xr3:uid="{258032DF-C2D1-4629-A035-62B415CBB9EA}" name="Cantidad"/>
    <tableColumn id="6" xr3:uid="{A7314575-3A8F-4C6C-BC5E-73E725EBE20B}" name="Precio"/>
    <tableColumn id="7" xr3:uid="{91795D9B-8103-47C2-A29B-83612D0B7839}" name="Total">
      <calculatedColumnFormula>DATOS!$E2*DATOS!$F2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913F-E21F-44CE-B2C6-EB8AABCF7376}">
  <dimension ref="A3:G8"/>
  <sheetViews>
    <sheetView topLeftCell="A58" workbookViewId="0">
      <selection activeCell="H21" sqref="H21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9.33203125" bestFit="1" customWidth="1"/>
    <col min="4" max="5" width="12.77734375" bestFit="1" customWidth="1"/>
    <col min="6" max="6" width="13.77734375" bestFit="1" customWidth="1"/>
    <col min="7" max="7" width="10.77734375" bestFit="1" customWidth="1"/>
  </cols>
  <sheetData>
    <row r="3" spans="1:7" x14ac:dyDescent="0.3">
      <c r="A3" s="2" t="s">
        <v>44</v>
      </c>
      <c r="B3" s="2" t="s">
        <v>43</v>
      </c>
    </row>
    <row r="4" spans="1:7" x14ac:dyDescent="0.3">
      <c r="A4" s="2" t="s">
        <v>41</v>
      </c>
      <c r="B4" t="s">
        <v>32</v>
      </c>
      <c r="C4" t="s">
        <v>31</v>
      </c>
      <c r="D4" t="s">
        <v>33</v>
      </c>
      <c r="E4" t="s">
        <v>30</v>
      </c>
      <c r="F4" t="s">
        <v>37</v>
      </c>
      <c r="G4" t="s">
        <v>42</v>
      </c>
    </row>
    <row r="5" spans="1:7" x14ac:dyDescent="0.3">
      <c r="A5" s="1" t="s">
        <v>11</v>
      </c>
      <c r="B5" s="3">
        <v>1063</v>
      </c>
      <c r="C5" s="3">
        <v>630</v>
      </c>
      <c r="D5" s="3">
        <v>169</v>
      </c>
      <c r="E5" s="3">
        <v>610</v>
      </c>
      <c r="F5" s="3">
        <v>589</v>
      </c>
      <c r="G5" s="3">
        <v>3061</v>
      </c>
    </row>
    <row r="6" spans="1:7" x14ac:dyDescent="0.3">
      <c r="A6" s="1" t="s">
        <v>17</v>
      </c>
      <c r="B6" s="3">
        <v>1002</v>
      </c>
      <c r="C6" s="3">
        <v>663</v>
      </c>
      <c r="D6" s="3">
        <v>369</v>
      </c>
      <c r="E6" s="3">
        <v>347</v>
      </c>
      <c r="F6" s="3">
        <v>433</v>
      </c>
      <c r="G6" s="3">
        <v>2814</v>
      </c>
    </row>
    <row r="7" spans="1:7" x14ac:dyDescent="0.3">
      <c r="A7" s="1" t="s">
        <v>15</v>
      </c>
      <c r="B7" s="3">
        <v>1498</v>
      </c>
      <c r="C7" s="3">
        <v>1441</v>
      </c>
      <c r="D7" s="3">
        <v>511</v>
      </c>
      <c r="E7" s="3">
        <v>189</v>
      </c>
      <c r="F7" s="3">
        <v>392</v>
      </c>
      <c r="G7" s="3">
        <v>4031</v>
      </c>
    </row>
    <row r="8" spans="1:7" x14ac:dyDescent="0.3">
      <c r="A8" s="1" t="s">
        <v>42</v>
      </c>
      <c r="B8" s="3">
        <v>3563</v>
      </c>
      <c r="C8" s="3">
        <v>2734</v>
      </c>
      <c r="D8" s="3">
        <v>1049</v>
      </c>
      <c r="E8" s="3">
        <v>1146</v>
      </c>
      <c r="F8" s="3">
        <v>1414</v>
      </c>
      <c r="G8" s="3">
        <v>9906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8"/>
  <sheetViews>
    <sheetView zoomScale="115" zoomScaleNormal="115" workbookViewId="0">
      <pane ySplit="1" topLeftCell="A2" activePane="bottomLeft" state="frozen"/>
      <selection pane="bottomLeft" activeCell="K5" sqref="K5"/>
    </sheetView>
  </sheetViews>
  <sheetFormatPr defaultColWidth="11.44140625" defaultRowHeight="14.4" x14ac:dyDescent="0.3"/>
  <cols>
    <col min="1" max="1" width="10.88671875" bestFit="1" customWidth="1"/>
    <col min="2" max="2" width="14.33203125" bestFit="1" customWidth="1"/>
    <col min="3" max="3" width="22.33203125" bestFit="1" customWidth="1"/>
    <col min="4" max="4" width="21.6640625" bestFit="1" customWidth="1"/>
    <col min="5" max="5" width="11" customWidth="1"/>
    <col min="8" max="8" width="8" bestFit="1" customWidth="1"/>
    <col min="9" max="9" width="8.88671875" bestFit="1" customWidth="1"/>
    <col min="10" max="10" width="9" bestFit="1" customWidth="1"/>
    <col min="11" max="11" width="12.5546875" bestFit="1" customWidth="1"/>
  </cols>
  <sheetData>
    <row r="1" spans="1:7" x14ac:dyDescent="0.3">
      <c r="A1" s="9" t="s">
        <v>0</v>
      </c>
      <c r="B1" s="9" t="s">
        <v>34</v>
      </c>
      <c r="C1" s="9" t="s">
        <v>35</v>
      </c>
      <c r="D1" s="9" t="s">
        <v>36</v>
      </c>
      <c r="E1" s="9" t="s">
        <v>1</v>
      </c>
      <c r="F1" s="9" t="s">
        <v>2</v>
      </c>
      <c r="G1" s="9" t="s">
        <v>3</v>
      </c>
    </row>
    <row r="2" spans="1:7" x14ac:dyDescent="0.3">
      <c r="A2" s="10">
        <v>41168</v>
      </c>
      <c r="B2" s="9" t="s">
        <v>5</v>
      </c>
      <c r="C2" s="9" t="s">
        <v>24</v>
      </c>
      <c r="D2" s="9" t="s">
        <v>33</v>
      </c>
      <c r="E2" s="9">
        <v>13</v>
      </c>
      <c r="F2" s="9">
        <v>650</v>
      </c>
      <c r="G2" s="9">
        <f>DATOS!$E2*DATOS!$F2</f>
        <v>8450</v>
      </c>
    </row>
    <row r="3" spans="1:7" x14ac:dyDescent="0.3">
      <c r="A3" s="10">
        <v>40674</v>
      </c>
      <c r="B3" s="9" t="s">
        <v>5</v>
      </c>
      <c r="C3" s="9" t="s">
        <v>27</v>
      </c>
      <c r="D3" s="9" t="s">
        <v>37</v>
      </c>
      <c r="E3" s="9" t="e" cm="1">
        <f t="array" ref="E3">nod</f>
        <v>#NAME?</v>
      </c>
      <c r="F3" s="9">
        <v>1200</v>
      </c>
      <c r="G3" s="9" t="e">
        <f>DATOS!$E3*DATOS!$F3</f>
        <v>#NAME?</v>
      </c>
    </row>
    <row r="4" spans="1:7" x14ac:dyDescent="0.3">
      <c r="A4" s="10">
        <v>41143</v>
      </c>
      <c r="B4" s="9" t="s">
        <v>5</v>
      </c>
      <c r="C4" s="9" t="s">
        <v>28</v>
      </c>
      <c r="D4" s="9" t="s">
        <v>37</v>
      </c>
      <c r="E4" s="9">
        <v>20</v>
      </c>
      <c r="F4" s="9">
        <v>1200</v>
      </c>
      <c r="G4" s="9">
        <f>DATOS!$E4*DATOS!$F4</f>
        <v>24000</v>
      </c>
    </row>
    <row r="5" spans="1:7" x14ac:dyDescent="0.3">
      <c r="A5" s="10">
        <v>41050</v>
      </c>
      <c r="B5" s="9" t="s">
        <v>5</v>
      </c>
      <c r="C5" s="9" t="s">
        <v>26</v>
      </c>
      <c r="D5" s="9" t="s">
        <v>31</v>
      </c>
      <c r="E5" s="9">
        <v>64</v>
      </c>
      <c r="F5" s="9">
        <v>800</v>
      </c>
      <c r="G5" s="9">
        <f>DATOS!$E5*DATOS!$F5</f>
        <v>51200</v>
      </c>
    </row>
    <row r="6" spans="1:7" x14ac:dyDescent="0.3">
      <c r="A6" s="10">
        <v>41365</v>
      </c>
      <c r="B6" s="9" t="s">
        <v>5</v>
      </c>
      <c r="C6" s="9" t="s">
        <v>24</v>
      </c>
      <c r="D6" s="9" t="s">
        <v>31</v>
      </c>
      <c r="E6" s="9">
        <v>58</v>
      </c>
      <c r="F6" s="9">
        <v>800</v>
      </c>
      <c r="G6" s="9">
        <f>DATOS!$E6*DATOS!$F6</f>
        <v>46400</v>
      </c>
    </row>
    <row r="7" spans="1:7" x14ac:dyDescent="0.3">
      <c r="A7" s="10">
        <v>41542</v>
      </c>
      <c r="B7" s="9" t="s">
        <v>5</v>
      </c>
      <c r="C7" s="9" t="s">
        <v>28</v>
      </c>
      <c r="D7" s="9" t="s">
        <v>31</v>
      </c>
      <c r="E7" s="9">
        <v>18</v>
      </c>
      <c r="F7" s="9">
        <v>800</v>
      </c>
      <c r="G7" s="9">
        <f>DATOS!$E7*DATOS!$F7</f>
        <v>14400</v>
      </c>
    </row>
    <row r="8" spans="1:7" x14ac:dyDescent="0.3">
      <c r="A8" s="10">
        <v>41332</v>
      </c>
      <c r="B8" s="9" t="s">
        <v>5</v>
      </c>
      <c r="C8" s="9" t="s">
        <v>28</v>
      </c>
      <c r="D8" s="9" t="s">
        <v>32</v>
      </c>
      <c r="E8" s="9">
        <v>9</v>
      </c>
      <c r="F8" s="9">
        <v>950</v>
      </c>
      <c r="G8" s="9">
        <f>DATOS!$E8*DATOS!$F8</f>
        <v>8550</v>
      </c>
    </row>
    <row r="9" spans="1:7" x14ac:dyDescent="0.3">
      <c r="A9" s="10">
        <v>41468</v>
      </c>
      <c r="B9" s="9" t="s">
        <v>5</v>
      </c>
      <c r="C9" s="9" t="s">
        <v>28</v>
      </c>
      <c r="D9" s="9" t="s">
        <v>30</v>
      </c>
      <c r="E9" s="9">
        <v>18</v>
      </c>
      <c r="F9" s="9">
        <v>450</v>
      </c>
      <c r="G9" s="9">
        <f>DATOS!$E9*DATOS!$F9</f>
        <v>8100</v>
      </c>
    </row>
    <row r="10" spans="1:7" x14ac:dyDescent="0.3">
      <c r="A10" s="10">
        <v>41981</v>
      </c>
      <c r="B10" s="9" t="s">
        <v>5</v>
      </c>
      <c r="C10" s="9" t="s">
        <v>29</v>
      </c>
      <c r="D10" s="9" t="s">
        <v>33</v>
      </c>
      <c r="E10" s="9">
        <v>51</v>
      </c>
      <c r="F10" s="9">
        <v>650</v>
      </c>
      <c r="G10" s="9">
        <f>DATOS!$E10*DATOS!$F10</f>
        <v>33150</v>
      </c>
    </row>
    <row r="11" spans="1:7" x14ac:dyDescent="0.3">
      <c r="A11" s="10">
        <v>41902</v>
      </c>
      <c r="B11" s="9" t="s">
        <v>5</v>
      </c>
      <c r="C11" s="9" t="s">
        <v>29</v>
      </c>
      <c r="D11" s="9" t="s">
        <v>31</v>
      </c>
      <c r="E11" s="9">
        <v>27</v>
      </c>
      <c r="F11" s="9">
        <v>800</v>
      </c>
      <c r="G11" s="9">
        <f>DATOS!$E11*DATOS!$F11</f>
        <v>21600</v>
      </c>
    </row>
    <row r="12" spans="1:7" x14ac:dyDescent="0.3">
      <c r="A12" s="10">
        <v>41136</v>
      </c>
      <c r="B12" s="9" t="s">
        <v>5</v>
      </c>
      <c r="C12" s="9" t="s">
        <v>25</v>
      </c>
      <c r="D12" s="9" t="s">
        <v>31</v>
      </c>
      <c r="E12" s="9">
        <v>26</v>
      </c>
      <c r="F12" s="9">
        <v>800</v>
      </c>
      <c r="G12" s="9">
        <f>DATOS!$E12*DATOS!$F12</f>
        <v>20800</v>
      </c>
    </row>
    <row r="13" spans="1:7" x14ac:dyDescent="0.3">
      <c r="A13" s="10">
        <v>40550</v>
      </c>
      <c r="B13" s="9" t="s">
        <v>5</v>
      </c>
      <c r="C13" s="9" t="s">
        <v>29</v>
      </c>
      <c r="D13" s="9" t="s">
        <v>37</v>
      </c>
      <c r="E13" s="9">
        <v>36</v>
      </c>
      <c r="F13" s="9">
        <v>1200</v>
      </c>
      <c r="G13" s="9">
        <f>DATOS!$E13*DATOS!$F13</f>
        <v>43200</v>
      </c>
    </row>
    <row r="14" spans="1:7" x14ac:dyDescent="0.3">
      <c r="A14" s="10">
        <v>41223</v>
      </c>
      <c r="B14" s="9" t="s">
        <v>5</v>
      </c>
      <c r="C14" s="9" t="s">
        <v>24</v>
      </c>
      <c r="D14" s="9" t="s">
        <v>32</v>
      </c>
      <c r="E14" s="9">
        <v>27</v>
      </c>
      <c r="F14" s="9">
        <v>950</v>
      </c>
      <c r="G14" s="9">
        <f>DATOS!$E14*DATOS!$F14</f>
        <v>25650</v>
      </c>
    </row>
    <row r="15" spans="1:7" x14ac:dyDescent="0.3">
      <c r="A15" s="10">
        <v>41235</v>
      </c>
      <c r="B15" s="9" t="s">
        <v>5</v>
      </c>
      <c r="C15" s="9" t="s">
        <v>28</v>
      </c>
      <c r="D15" s="9" t="s">
        <v>32</v>
      </c>
      <c r="E15" s="9">
        <v>13</v>
      </c>
      <c r="F15" s="9">
        <v>950</v>
      </c>
      <c r="G15" s="9">
        <f>DATOS!$E15*DATOS!$F15</f>
        <v>12350</v>
      </c>
    </row>
    <row r="16" spans="1:7" x14ac:dyDescent="0.3">
      <c r="A16" s="10">
        <v>41579</v>
      </c>
      <c r="B16" s="9" t="s">
        <v>5</v>
      </c>
      <c r="C16" s="9" t="s">
        <v>29</v>
      </c>
      <c r="D16" s="9" t="s">
        <v>32</v>
      </c>
      <c r="E16" s="9">
        <v>1</v>
      </c>
      <c r="F16" s="9">
        <v>820</v>
      </c>
      <c r="G16" s="9">
        <f>DATOS!$E16*DATOS!$F16</f>
        <v>820</v>
      </c>
    </row>
    <row r="17" spans="1:7" x14ac:dyDescent="0.3">
      <c r="A17" s="10">
        <v>41990</v>
      </c>
      <c r="B17" s="9" t="s">
        <v>5</v>
      </c>
      <c r="C17" s="9" t="s">
        <v>28</v>
      </c>
      <c r="D17" s="9" t="s">
        <v>32</v>
      </c>
      <c r="E17" s="9">
        <v>1</v>
      </c>
      <c r="F17" s="9">
        <v>820</v>
      </c>
      <c r="G17" s="9">
        <f>DATOS!$E17*DATOS!$F17</f>
        <v>820</v>
      </c>
    </row>
    <row r="18" spans="1:7" x14ac:dyDescent="0.3">
      <c r="A18" s="10">
        <v>40230</v>
      </c>
      <c r="B18" s="9" t="s">
        <v>5</v>
      </c>
      <c r="C18" s="9" t="s">
        <v>25</v>
      </c>
      <c r="D18" s="9" t="s">
        <v>32</v>
      </c>
      <c r="E18" s="9">
        <v>24</v>
      </c>
      <c r="F18" s="9">
        <v>820</v>
      </c>
      <c r="G18" s="9">
        <f>DATOS!$E18*DATOS!$F18</f>
        <v>19680</v>
      </c>
    </row>
    <row r="19" spans="1:7" x14ac:dyDescent="0.3">
      <c r="A19" s="10">
        <v>41793</v>
      </c>
      <c r="B19" s="9" t="s">
        <v>5</v>
      </c>
      <c r="C19" s="9" t="s">
        <v>28</v>
      </c>
      <c r="D19" s="9" t="s">
        <v>32</v>
      </c>
      <c r="E19" s="9">
        <v>11</v>
      </c>
      <c r="F19" s="9">
        <v>820</v>
      </c>
      <c r="G19" s="9">
        <f>DATOS!$E19*DATOS!$F19</f>
        <v>9020</v>
      </c>
    </row>
    <row r="20" spans="1:7" x14ac:dyDescent="0.3">
      <c r="A20" s="10">
        <v>41771</v>
      </c>
      <c r="B20" s="9" t="s">
        <v>5</v>
      </c>
      <c r="C20" s="9" t="s">
        <v>24</v>
      </c>
      <c r="D20" s="9" t="s">
        <v>37</v>
      </c>
      <c r="E20" s="9">
        <v>63</v>
      </c>
      <c r="F20" s="9">
        <v>1200</v>
      </c>
      <c r="G20" s="9">
        <f>DATOS!$E20*DATOS!$F20</f>
        <v>75600</v>
      </c>
    </row>
    <row r="21" spans="1:7" x14ac:dyDescent="0.3">
      <c r="A21" s="10">
        <v>41015</v>
      </c>
      <c r="B21" s="9" t="s">
        <v>5</v>
      </c>
      <c r="C21" s="9" t="s">
        <v>25</v>
      </c>
      <c r="D21" s="9" t="s">
        <v>32</v>
      </c>
      <c r="E21" s="9">
        <v>17</v>
      </c>
      <c r="F21" s="9">
        <v>820</v>
      </c>
      <c r="G21" s="9">
        <f>DATOS!$E21*DATOS!$F21</f>
        <v>13940</v>
      </c>
    </row>
    <row r="22" spans="1:7" x14ac:dyDescent="0.3">
      <c r="A22" s="10">
        <v>40520</v>
      </c>
      <c r="B22" s="9" t="s">
        <v>5</v>
      </c>
      <c r="C22" s="9" t="s">
        <v>24</v>
      </c>
      <c r="D22" s="9" t="s">
        <v>32</v>
      </c>
      <c r="E22" s="9">
        <v>116</v>
      </c>
      <c r="F22" s="9">
        <v>950</v>
      </c>
      <c r="G22" s="9">
        <f>DATOS!$E22*DATOS!$F22</f>
        <v>110200</v>
      </c>
    </row>
    <row r="23" spans="1:7" x14ac:dyDescent="0.3">
      <c r="A23" s="10">
        <v>40619</v>
      </c>
      <c r="B23" s="9" t="s">
        <v>5</v>
      </c>
      <c r="C23" s="9" t="s">
        <v>26</v>
      </c>
      <c r="D23" s="9" t="s">
        <v>32</v>
      </c>
      <c r="E23" s="9">
        <v>27</v>
      </c>
      <c r="F23" s="9">
        <v>820</v>
      </c>
      <c r="G23" s="9">
        <f>DATOS!$E23*DATOS!$F23</f>
        <v>22140</v>
      </c>
    </row>
    <row r="24" spans="1:7" x14ac:dyDescent="0.3">
      <c r="A24" s="10">
        <v>40346</v>
      </c>
      <c r="B24" s="9" t="s">
        <v>5</v>
      </c>
      <c r="C24" s="9" t="s">
        <v>24</v>
      </c>
      <c r="D24" s="9" t="s">
        <v>32</v>
      </c>
      <c r="E24" s="9">
        <v>41</v>
      </c>
      <c r="F24" s="9">
        <v>950</v>
      </c>
      <c r="G24" s="9">
        <f>DATOS!$E24*DATOS!$F24</f>
        <v>38950</v>
      </c>
    </row>
    <row r="25" spans="1:7" x14ac:dyDescent="0.3">
      <c r="A25" s="10">
        <v>40971</v>
      </c>
      <c r="B25" s="9" t="s">
        <v>5</v>
      </c>
      <c r="C25" s="9" t="s">
        <v>25</v>
      </c>
      <c r="D25" s="9" t="s">
        <v>31</v>
      </c>
      <c r="E25" s="9">
        <v>6</v>
      </c>
      <c r="F25" s="9">
        <v>800</v>
      </c>
      <c r="G25" s="9">
        <f>DATOS!$E25*DATOS!$F25</f>
        <v>4800</v>
      </c>
    </row>
    <row r="26" spans="1:7" x14ac:dyDescent="0.3">
      <c r="A26" s="10">
        <v>40534</v>
      </c>
      <c r="B26" s="9" t="s">
        <v>5</v>
      </c>
      <c r="C26" s="9" t="s">
        <v>29</v>
      </c>
      <c r="D26" s="9" t="s">
        <v>37</v>
      </c>
      <c r="E26" s="9">
        <v>130</v>
      </c>
      <c r="F26" s="9">
        <v>1200</v>
      </c>
      <c r="G26" s="9">
        <f>DATOS!$E26*DATOS!$F26</f>
        <v>156000</v>
      </c>
    </row>
    <row r="27" spans="1:7" x14ac:dyDescent="0.3">
      <c r="A27" s="10">
        <v>41052</v>
      </c>
      <c r="B27" s="9" t="s">
        <v>5</v>
      </c>
      <c r="C27" s="9" t="s">
        <v>27</v>
      </c>
      <c r="D27" s="9" t="s">
        <v>31</v>
      </c>
      <c r="E27" s="9">
        <v>44</v>
      </c>
      <c r="F27" s="9">
        <v>800</v>
      </c>
      <c r="G27" s="9">
        <f>DATOS!$E27*DATOS!$F27</f>
        <v>35200</v>
      </c>
    </row>
    <row r="28" spans="1:7" x14ac:dyDescent="0.3">
      <c r="A28" s="10">
        <v>40465</v>
      </c>
      <c r="B28" s="9" t="s">
        <v>5</v>
      </c>
      <c r="C28" s="9" t="s">
        <v>27</v>
      </c>
      <c r="D28" s="9" t="s">
        <v>31</v>
      </c>
      <c r="E28" s="9">
        <v>4</v>
      </c>
      <c r="F28" s="9">
        <v>800</v>
      </c>
      <c r="G28" s="9">
        <f>DATOS!$E28*DATOS!$F28</f>
        <v>3200</v>
      </c>
    </row>
    <row r="29" spans="1:7" x14ac:dyDescent="0.3">
      <c r="A29" s="10">
        <v>41796</v>
      </c>
      <c r="B29" s="9" t="s">
        <v>5</v>
      </c>
      <c r="C29" s="9" t="s">
        <v>26</v>
      </c>
      <c r="D29" s="9" t="s">
        <v>32</v>
      </c>
      <c r="E29" s="9">
        <v>108</v>
      </c>
      <c r="F29" s="9">
        <v>820</v>
      </c>
      <c r="G29" s="9">
        <f>DATOS!$E29*DATOS!$F29</f>
        <v>88560</v>
      </c>
    </row>
    <row r="30" spans="1:7" x14ac:dyDescent="0.3">
      <c r="A30" s="10">
        <v>40524</v>
      </c>
      <c r="B30" s="9" t="s">
        <v>5</v>
      </c>
      <c r="C30" s="9" t="s">
        <v>25</v>
      </c>
      <c r="D30" s="9" t="s">
        <v>32</v>
      </c>
      <c r="E30" s="9">
        <v>58</v>
      </c>
      <c r="F30" s="9">
        <v>820</v>
      </c>
      <c r="G30" s="9">
        <f>DATOS!$E30*DATOS!$F30</f>
        <v>47560</v>
      </c>
    </row>
    <row r="31" spans="1:7" x14ac:dyDescent="0.3">
      <c r="A31" s="10">
        <v>41976</v>
      </c>
      <c r="B31" s="9" t="s">
        <v>5</v>
      </c>
      <c r="C31" s="9" t="s">
        <v>25</v>
      </c>
      <c r="D31" s="9" t="s">
        <v>33</v>
      </c>
      <c r="E31" s="9">
        <v>42</v>
      </c>
      <c r="F31" s="9">
        <v>650</v>
      </c>
      <c r="G31" s="9">
        <f>DATOS!$E31*DATOS!$F31</f>
        <v>27300</v>
      </c>
    </row>
    <row r="32" spans="1:7" x14ac:dyDescent="0.3">
      <c r="A32" s="10">
        <v>40334</v>
      </c>
      <c r="B32" s="9" t="s">
        <v>5</v>
      </c>
      <c r="C32" s="9" t="s">
        <v>25</v>
      </c>
      <c r="D32" s="9" t="s">
        <v>31</v>
      </c>
      <c r="E32" s="9">
        <v>69</v>
      </c>
      <c r="F32" s="9">
        <v>800</v>
      </c>
      <c r="G32" s="9">
        <f>DATOS!$E32*DATOS!$F32</f>
        <v>55200</v>
      </c>
    </row>
    <row r="33" spans="1:7" x14ac:dyDescent="0.3">
      <c r="A33" s="10">
        <v>40539</v>
      </c>
      <c r="B33" s="9" t="s">
        <v>5</v>
      </c>
      <c r="C33" s="9" t="s">
        <v>24</v>
      </c>
      <c r="D33" s="9" t="s">
        <v>33</v>
      </c>
      <c r="E33" s="9">
        <v>69</v>
      </c>
      <c r="F33" s="9">
        <v>650</v>
      </c>
      <c r="G33" s="9">
        <f>DATOS!$E33*DATOS!$F33</f>
        <v>44850</v>
      </c>
    </row>
    <row r="34" spans="1:7" x14ac:dyDescent="0.3">
      <c r="A34" s="10">
        <v>41210</v>
      </c>
      <c r="B34" s="9" t="s">
        <v>5</v>
      </c>
      <c r="C34" s="9" t="s">
        <v>29</v>
      </c>
      <c r="D34" s="9" t="s">
        <v>37</v>
      </c>
      <c r="E34" s="9">
        <v>64</v>
      </c>
      <c r="F34" s="9">
        <v>1200</v>
      </c>
      <c r="G34" s="9">
        <f>DATOS!$E34*DATOS!$F34</f>
        <v>76800</v>
      </c>
    </row>
    <row r="35" spans="1:7" x14ac:dyDescent="0.3">
      <c r="A35" s="10">
        <v>40795</v>
      </c>
      <c r="B35" s="9" t="s">
        <v>5</v>
      </c>
      <c r="C35" s="9" t="s">
        <v>25</v>
      </c>
      <c r="D35" s="9" t="s">
        <v>31</v>
      </c>
      <c r="E35" s="9">
        <v>41</v>
      </c>
      <c r="F35" s="9">
        <v>800</v>
      </c>
      <c r="G35" s="9">
        <f>DATOS!$E35*DATOS!$F35</f>
        <v>32800</v>
      </c>
    </row>
    <row r="36" spans="1:7" x14ac:dyDescent="0.3">
      <c r="A36" s="10">
        <v>40805</v>
      </c>
      <c r="B36" s="9" t="s">
        <v>5</v>
      </c>
      <c r="C36" s="9" t="s">
        <v>28</v>
      </c>
      <c r="D36" s="9" t="s">
        <v>31</v>
      </c>
      <c r="E36" s="9">
        <v>14</v>
      </c>
      <c r="F36" s="9">
        <v>800</v>
      </c>
      <c r="G36" s="9">
        <f>DATOS!$E36*DATOS!$F36</f>
        <v>11200</v>
      </c>
    </row>
    <row r="37" spans="1:7" x14ac:dyDescent="0.3">
      <c r="A37" s="10">
        <v>41712</v>
      </c>
      <c r="B37" s="9" t="s">
        <v>5</v>
      </c>
      <c r="C37" s="9" t="s">
        <v>29</v>
      </c>
      <c r="D37" s="9" t="s">
        <v>31</v>
      </c>
      <c r="E37" s="9">
        <v>9</v>
      </c>
      <c r="F37" s="9">
        <v>800</v>
      </c>
      <c r="G37" s="9">
        <f>DATOS!$E37*DATOS!$F37</f>
        <v>7200</v>
      </c>
    </row>
    <row r="38" spans="1:7" x14ac:dyDescent="0.3">
      <c r="A38" s="10">
        <v>41273</v>
      </c>
      <c r="B38" s="9" t="s">
        <v>5</v>
      </c>
      <c r="C38" s="9" t="s">
        <v>25</v>
      </c>
      <c r="D38" s="9" t="s">
        <v>31</v>
      </c>
      <c r="E38" s="9">
        <v>79</v>
      </c>
      <c r="F38" s="9">
        <v>800</v>
      </c>
      <c r="G38" s="9">
        <f>DATOS!$E38*DATOS!$F38</f>
        <v>63200</v>
      </c>
    </row>
    <row r="39" spans="1:7" x14ac:dyDescent="0.3">
      <c r="A39" s="10">
        <v>41233</v>
      </c>
      <c r="B39" s="9" t="s">
        <v>5</v>
      </c>
      <c r="C39" s="9" t="s">
        <v>27</v>
      </c>
      <c r="D39" s="9" t="s">
        <v>32</v>
      </c>
      <c r="E39" s="9">
        <v>8</v>
      </c>
      <c r="F39" s="9">
        <v>820</v>
      </c>
      <c r="G39" s="9">
        <f>DATOS!$E39*DATOS!$F39</f>
        <v>6560</v>
      </c>
    </row>
    <row r="40" spans="1:7" x14ac:dyDescent="0.3">
      <c r="A40" s="10">
        <v>41350</v>
      </c>
      <c r="B40" s="9" t="s">
        <v>5</v>
      </c>
      <c r="C40" s="9" t="s">
        <v>27</v>
      </c>
      <c r="D40" s="9" t="s">
        <v>37</v>
      </c>
      <c r="E40" s="9">
        <v>28</v>
      </c>
      <c r="F40" s="9">
        <v>1200</v>
      </c>
      <c r="G40" s="9">
        <f>DATOS!$E40*DATOS!$F40</f>
        <v>33600</v>
      </c>
    </row>
    <row r="41" spans="1:7" x14ac:dyDescent="0.3">
      <c r="A41" s="10">
        <v>41781</v>
      </c>
      <c r="B41" s="9" t="s">
        <v>5</v>
      </c>
      <c r="C41" s="9" t="s">
        <v>26</v>
      </c>
      <c r="D41" s="9" t="s">
        <v>32</v>
      </c>
      <c r="E41" s="9">
        <v>13</v>
      </c>
      <c r="F41" s="9">
        <v>950</v>
      </c>
      <c r="G41" s="9">
        <f>DATOS!$E41*DATOS!$F41</f>
        <v>12350</v>
      </c>
    </row>
    <row r="42" spans="1:7" x14ac:dyDescent="0.3">
      <c r="A42" s="10">
        <v>41024</v>
      </c>
      <c r="B42" s="9" t="s">
        <v>5</v>
      </c>
      <c r="C42" s="9" t="s">
        <v>28</v>
      </c>
      <c r="D42" s="9" t="s">
        <v>31</v>
      </c>
      <c r="E42" s="9">
        <v>7</v>
      </c>
      <c r="F42" s="9">
        <v>800</v>
      </c>
      <c r="G42" s="9">
        <f>DATOS!$E42*DATOS!$F42</f>
        <v>5600</v>
      </c>
    </row>
    <row r="43" spans="1:7" x14ac:dyDescent="0.3">
      <c r="A43" s="10">
        <v>41882</v>
      </c>
      <c r="B43" s="9" t="s">
        <v>5</v>
      </c>
      <c r="C43" s="9" t="s">
        <v>26</v>
      </c>
      <c r="D43" s="9" t="s">
        <v>31</v>
      </c>
      <c r="E43" s="9">
        <v>20</v>
      </c>
      <c r="F43" s="9">
        <v>800</v>
      </c>
      <c r="G43" s="9">
        <f>DATOS!$E43*DATOS!$F43</f>
        <v>16000</v>
      </c>
    </row>
    <row r="44" spans="1:7" x14ac:dyDescent="0.3">
      <c r="A44" s="10">
        <v>40713</v>
      </c>
      <c r="B44" s="9" t="s">
        <v>5</v>
      </c>
      <c r="C44" s="9" t="s">
        <v>27</v>
      </c>
      <c r="D44" s="9" t="s">
        <v>37</v>
      </c>
      <c r="E44" s="9">
        <v>31</v>
      </c>
      <c r="F44" s="9">
        <v>1200</v>
      </c>
      <c r="G44" s="9">
        <f>DATOS!$E44*DATOS!$F44</f>
        <v>37200</v>
      </c>
    </row>
    <row r="45" spans="1:7" x14ac:dyDescent="0.3">
      <c r="A45" s="10">
        <v>40292</v>
      </c>
      <c r="B45" s="9" t="s">
        <v>5</v>
      </c>
      <c r="C45" s="9" t="s">
        <v>29</v>
      </c>
      <c r="D45" s="9" t="s">
        <v>31</v>
      </c>
      <c r="E45" s="9">
        <v>66</v>
      </c>
      <c r="F45" s="9">
        <v>800</v>
      </c>
      <c r="G45" s="9">
        <f>DATOS!$E45*DATOS!$F45</f>
        <v>52800</v>
      </c>
    </row>
    <row r="46" spans="1:7" x14ac:dyDescent="0.3">
      <c r="A46" s="10">
        <v>41411</v>
      </c>
      <c r="B46" s="9" t="s">
        <v>5</v>
      </c>
      <c r="C46" s="9" t="s">
        <v>26</v>
      </c>
      <c r="D46" s="9" t="s">
        <v>31</v>
      </c>
      <c r="E46" s="9">
        <v>42</v>
      </c>
      <c r="F46" s="9">
        <v>800</v>
      </c>
      <c r="G46" s="9">
        <f>DATOS!$E46*DATOS!$F46</f>
        <v>33600</v>
      </c>
    </row>
    <row r="47" spans="1:7" x14ac:dyDescent="0.3">
      <c r="A47" s="10">
        <v>40461</v>
      </c>
      <c r="B47" s="9" t="s">
        <v>5</v>
      </c>
      <c r="C47" s="9" t="s">
        <v>26</v>
      </c>
      <c r="D47" s="9" t="s">
        <v>31</v>
      </c>
      <c r="E47" s="9">
        <v>38</v>
      </c>
      <c r="F47" s="9">
        <v>800</v>
      </c>
      <c r="G47" s="9">
        <f>DATOS!$E47*DATOS!$F47</f>
        <v>30400</v>
      </c>
    </row>
    <row r="48" spans="1:7" x14ac:dyDescent="0.3">
      <c r="A48" s="10">
        <v>40400</v>
      </c>
      <c r="B48" s="9" t="s">
        <v>5</v>
      </c>
      <c r="C48" s="9" t="s">
        <v>26</v>
      </c>
      <c r="D48" s="9" t="s">
        <v>31</v>
      </c>
      <c r="E48" s="9">
        <v>70</v>
      </c>
      <c r="F48" s="9">
        <v>800</v>
      </c>
      <c r="G48" s="9">
        <f>DATOS!$E48*DATOS!$F48</f>
        <v>56000</v>
      </c>
    </row>
    <row r="49" spans="1:7" x14ac:dyDescent="0.3">
      <c r="A49" s="10">
        <v>40945</v>
      </c>
      <c r="B49" s="9" t="s">
        <v>5</v>
      </c>
      <c r="C49" s="9" t="s">
        <v>25</v>
      </c>
      <c r="D49" s="9" t="s">
        <v>33</v>
      </c>
      <c r="E49" s="9">
        <v>226</v>
      </c>
      <c r="F49" s="9">
        <v>650</v>
      </c>
      <c r="G49" s="9">
        <f>DATOS!$E49*DATOS!$F49</f>
        <v>146900</v>
      </c>
    </row>
    <row r="50" spans="1:7" x14ac:dyDescent="0.3">
      <c r="A50" s="10">
        <v>41549</v>
      </c>
      <c r="B50" s="9" t="s">
        <v>5</v>
      </c>
      <c r="C50" s="9" t="s">
        <v>29</v>
      </c>
      <c r="D50" s="9" t="s">
        <v>37</v>
      </c>
      <c r="E50" s="9">
        <v>83</v>
      </c>
      <c r="F50" s="9">
        <v>1200</v>
      </c>
      <c r="G50" s="9">
        <f>DATOS!$E50*DATOS!$F50</f>
        <v>99600</v>
      </c>
    </row>
    <row r="51" spans="1:7" x14ac:dyDescent="0.3">
      <c r="A51" s="10">
        <v>41088</v>
      </c>
      <c r="B51" s="9" t="s">
        <v>5</v>
      </c>
      <c r="C51" s="9" t="s">
        <v>25</v>
      </c>
      <c r="D51" s="9" t="s">
        <v>32</v>
      </c>
      <c r="E51" s="9">
        <v>70</v>
      </c>
      <c r="F51" s="9">
        <v>820</v>
      </c>
      <c r="G51" s="9">
        <f>DATOS!$E51*DATOS!$F51</f>
        <v>57400</v>
      </c>
    </row>
    <row r="52" spans="1:7" x14ac:dyDescent="0.3">
      <c r="A52" s="10">
        <v>41672</v>
      </c>
      <c r="B52" s="9" t="s">
        <v>5</v>
      </c>
      <c r="C52" s="9" t="s">
        <v>27</v>
      </c>
      <c r="D52" s="9" t="s">
        <v>37</v>
      </c>
      <c r="E52" s="9">
        <v>15</v>
      </c>
      <c r="F52" s="9">
        <v>1200</v>
      </c>
      <c r="G52" s="9">
        <f>DATOS!$E52*DATOS!$F52</f>
        <v>18000</v>
      </c>
    </row>
    <row r="53" spans="1:7" x14ac:dyDescent="0.3">
      <c r="A53" s="10">
        <v>41569</v>
      </c>
      <c r="B53" s="9" t="s">
        <v>5</v>
      </c>
      <c r="C53" s="9" t="s">
        <v>27</v>
      </c>
      <c r="D53" s="9" t="s">
        <v>37</v>
      </c>
      <c r="E53" s="9">
        <v>89</v>
      </c>
      <c r="F53" s="9">
        <v>1200</v>
      </c>
      <c r="G53" s="9">
        <f>DATOS!$E53*DATOS!$F53</f>
        <v>106800</v>
      </c>
    </row>
    <row r="54" spans="1:7" x14ac:dyDescent="0.3">
      <c r="A54" s="10">
        <v>40911</v>
      </c>
      <c r="B54" s="9" t="s">
        <v>5</v>
      </c>
      <c r="C54" s="9" t="s">
        <v>24</v>
      </c>
      <c r="D54" s="9" t="s">
        <v>37</v>
      </c>
      <c r="E54" s="9">
        <v>87</v>
      </c>
      <c r="F54" s="9">
        <v>1200</v>
      </c>
      <c r="G54" s="9">
        <f>DATOS!$E54*DATOS!$F54</f>
        <v>104400</v>
      </c>
    </row>
    <row r="55" spans="1:7" x14ac:dyDescent="0.3">
      <c r="A55" s="10">
        <v>41509</v>
      </c>
      <c r="B55" s="9" t="s">
        <v>5</v>
      </c>
      <c r="C55" s="9" t="s">
        <v>28</v>
      </c>
      <c r="D55" s="9" t="s">
        <v>32</v>
      </c>
      <c r="E55" s="9">
        <v>17</v>
      </c>
      <c r="F55" s="9">
        <v>820</v>
      </c>
      <c r="G55" s="9">
        <f>DATOS!$E55*DATOS!$F55</f>
        <v>13940</v>
      </c>
    </row>
    <row r="56" spans="1:7" x14ac:dyDescent="0.3">
      <c r="A56" s="10">
        <v>41066</v>
      </c>
      <c r="B56" s="9" t="s">
        <v>5</v>
      </c>
      <c r="C56" s="9" t="s">
        <v>29</v>
      </c>
      <c r="D56" s="9" t="s">
        <v>33</v>
      </c>
      <c r="E56" s="9">
        <v>107</v>
      </c>
      <c r="F56" s="9">
        <v>650</v>
      </c>
      <c r="G56" s="9">
        <f>DATOS!$E56*DATOS!$F56</f>
        <v>69550</v>
      </c>
    </row>
    <row r="57" spans="1:7" x14ac:dyDescent="0.3">
      <c r="A57" s="10">
        <v>41646</v>
      </c>
      <c r="B57" s="9" t="s">
        <v>5</v>
      </c>
      <c r="C57" s="9" t="s">
        <v>28</v>
      </c>
      <c r="D57" s="9" t="s">
        <v>31</v>
      </c>
      <c r="E57" s="9">
        <v>3</v>
      </c>
      <c r="F57" s="9">
        <v>800</v>
      </c>
      <c r="G57" s="9">
        <f>DATOS!$E57*DATOS!$F57</f>
        <v>2400</v>
      </c>
    </row>
    <row r="58" spans="1:7" x14ac:dyDescent="0.3">
      <c r="A58" s="10">
        <v>40675</v>
      </c>
      <c r="B58" s="9" t="s">
        <v>5</v>
      </c>
      <c r="C58" s="9" t="s">
        <v>24</v>
      </c>
      <c r="D58" s="9" t="s">
        <v>32</v>
      </c>
      <c r="E58" s="9">
        <v>59</v>
      </c>
      <c r="F58" s="9">
        <v>820</v>
      </c>
      <c r="G58" s="9">
        <f>DATOS!$E58*DATOS!$F58</f>
        <v>48380</v>
      </c>
    </row>
    <row r="59" spans="1:7" x14ac:dyDescent="0.3">
      <c r="A59" s="10">
        <v>41634</v>
      </c>
      <c r="B59" s="9" t="s">
        <v>5</v>
      </c>
      <c r="C59" s="9" t="s">
        <v>24</v>
      </c>
      <c r="D59" s="9" t="s">
        <v>37</v>
      </c>
      <c r="E59" s="9">
        <v>34</v>
      </c>
      <c r="F59" s="9">
        <v>1200</v>
      </c>
      <c r="G59" s="9">
        <f>DATOS!$E59*DATOS!$F59</f>
        <v>40800</v>
      </c>
    </row>
    <row r="60" spans="1:7" x14ac:dyDescent="0.3">
      <c r="A60" s="10">
        <v>40842</v>
      </c>
      <c r="B60" s="9" t="s">
        <v>5</v>
      </c>
      <c r="C60" s="9" t="s">
        <v>29</v>
      </c>
      <c r="D60" s="9" t="s">
        <v>31</v>
      </c>
      <c r="E60" s="9">
        <v>62</v>
      </c>
      <c r="F60" s="9">
        <v>800</v>
      </c>
      <c r="G60" s="9">
        <f>DATOS!$E60*DATOS!$F60</f>
        <v>49600</v>
      </c>
    </row>
    <row r="61" spans="1:7" x14ac:dyDescent="0.3">
      <c r="A61" s="10">
        <v>41827</v>
      </c>
      <c r="B61" s="9" t="s">
        <v>5</v>
      </c>
      <c r="C61" s="9" t="s">
        <v>27</v>
      </c>
      <c r="D61" s="9" t="s">
        <v>31</v>
      </c>
      <c r="E61" s="9">
        <v>55</v>
      </c>
      <c r="F61" s="9">
        <v>800</v>
      </c>
      <c r="G61" s="9">
        <f>DATOS!$E61*DATOS!$F61</f>
        <v>44000</v>
      </c>
    </row>
    <row r="62" spans="1:7" x14ac:dyDescent="0.3">
      <c r="A62" s="10">
        <v>41144</v>
      </c>
      <c r="B62" s="9" t="s">
        <v>5</v>
      </c>
      <c r="C62" s="9" t="s">
        <v>29</v>
      </c>
      <c r="D62" s="9" t="s">
        <v>32</v>
      </c>
      <c r="E62" s="9">
        <v>44</v>
      </c>
      <c r="F62" s="9">
        <v>820</v>
      </c>
      <c r="G62" s="9">
        <f>DATOS!$E62*DATOS!$F62</f>
        <v>36080</v>
      </c>
    </row>
    <row r="63" spans="1:7" x14ac:dyDescent="0.3">
      <c r="A63" s="10">
        <v>40886</v>
      </c>
      <c r="B63" s="9" t="s">
        <v>5</v>
      </c>
      <c r="C63" s="9" t="s">
        <v>27</v>
      </c>
      <c r="D63" s="9" t="s">
        <v>32</v>
      </c>
      <c r="E63" s="9">
        <v>7</v>
      </c>
      <c r="F63" s="9">
        <v>820</v>
      </c>
      <c r="G63" s="9">
        <f>DATOS!$E63*DATOS!$F63</f>
        <v>5740</v>
      </c>
    </row>
    <row r="64" spans="1:7" x14ac:dyDescent="0.3">
      <c r="A64" s="10">
        <v>41557</v>
      </c>
      <c r="B64" s="9" t="s">
        <v>5</v>
      </c>
      <c r="C64" s="9" t="s">
        <v>25</v>
      </c>
      <c r="D64" s="9" t="s">
        <v>37</v>
      </c>
      <c r="E64" s="9">
        <v>187</v>
      </c>
      <c r="F64" s="9">
        <v>1200</v>
      </c>
      <c r="G64" s="9">
        <f>DATOS!$E64*DATOS!$F64</f>
        <v>224400</v>
      </c>
    </row>
    <row r="65" spans="1:7" x14ac:dyDescent="0.3">
      <c r="A65" s="10">
        <v>41579</v>
      </c>
      <c r="B65" s="9" t="s">
        <v>5</v>
      </c>
      <c r="C65" s="9" t="s">
        <v>26</v>
      </c>
      <c r="D65" s="9" t="s">
        <v>32</v>
      </c>
      <c r="E65" s="9">
        <v>18</v>
      </c>
      <c r="F65" s="9">
        <v>950</v>
      </c>
      <c r="G65" s="9">
        <f>DATOS!$E65*DATOS!$F65</f>
        <v>17100</v>
      </c>
    </row>
    <row r="66" spans="1:7" x14ac:dyDescent="0.3">
      <c r="A66" s="10">
        <v>41558</v>
      </c>
      <c r="B66" s="9" t="s">
        <v>6</v>
      </c>
      <c r="C66" s="9" t="s">
        <v>26</v>
      </c>
      <c r="D66" s="9" t="s">
        <v>37</v>
      </c>
      <c r="E66" s="9">
        <v>70</v>
      </c>
      <c r="F66" s="9">
        <v>1200</v>
      </c>
      <c r="G66" s="9">
        <f>DATOS!$E66*DATOS!$F66</f>
        <v>84000</v>
      </c>
    </row>
    <row r="67" spans="1:7" x14ac:dyDescent="0.3">
      <c r="A67" s="10">
        <v>40200</v>
      </c>
      <c r="B67" s="9" t="s">
        <v>6</v>
      </c>
      <c r="C67" s="9" t="s">
        <v>28</v>
      </c>
      <c r="D67" s="9" t="s">
        <v>37</v>
      </c>
      <c r="E67" s="9">
        <v>18</v>
      </c>
      <c r="F67" s="9">
        <v>1200</v>
      </c>
      <c r="G67" s="9">
        <f>DATOS!$E67*DATOS!$F67</f>
        <v>21600</v>
      </c>
    </row>
    <row r="68" spans="1:7" x14ac:dyDescent="0.3">
      <c r="A68" s="10">
        <v>41861</v>
      </c>
      <c r="B68" s="9" t="s">
        <v>6</v>
      </c>
      <c r="C68" s="9" t="s">
        <v>26</v>
      </c>
      <c r="D68" s="9" t="s">
        <v>31</v>
      </c>
      <c r="E68" s="9">
        <v>118</v>
      </c>
      <c r="F68" s="9">
        <v>800</v>
      </c>
      <c r="G68" s="9">
        <f>DATOS!$E68*DATOS!$F68</f>
        <v>94400</v>
      </c>
    </row>
    <row r="69" spans="1:7" x14ac:dyDescent="0.3">
      <c r="A69" s="10">
        <v>40913</v>
      </c>
      <c r="B69" s="9" t="s">
        <v>6</v>
      </c>
      <c r="C69" s="9" t="s">
        <v>24</v>
      </c>
      <c r="D69" s="9" t="s">
        <v>32</v>
      </c>
      <c r="E69" s="9">
        <v>21</v>
      </c>
      <c r="F69" s="9">
        <v>950</v>
      </c>
      <c r="G69" s="9">
        <f>DATOS!$E69*DATOS!$F69</f>
        <v>19950</v>
      </c>
    </row>
    <row r="70" spans="1:7" x14ac:dyDescent="0.3">
      <c r="A70" s="10">
        <v>40926</v>
      </c>
      <c r="B70" s="9" t="s">
        <v>6</v>
      </c>
      <c r="C70" s="9" t="s">
        <v>29</v>
      </c>
      <c r="D70" s="9" t="s">
        <v>32</v>
      </c>
      <c r="E70" s="9">
        <v>36</v>
      </c>
      <c r="F70" s="9">
        <v>950</v>
      </c>
      <c r="G70" s="9">
        <f>DATOS!$E70*DATOS!$F70</f>
        <v>34200</v>
      </c>
    </row>
    <row r="71" spans="1:7" x14ac:dyDescent="0.3">
      <c r="A71" s="10">
        <v>41754</v>
      </c>
      <c r="B71" s="9" t="s">
        <v>6</v>
      </c>
      <c r="C71" s="9" t="s">
        <v>24</v>
      </c>
      <c r="D71" s="9" t="s">
        <v>30</v>
      </c>
      <c r="E71" s="9">
        <v>55</v>
      </c>
      <c r="F71" s="9">
        <v>450</v>
      </c>
      <c r="G71" s="9">
        <f>DATOS!$E71*DATOS!$F71</f>
        <v>24750</v>
      </c>
    </row>
    <row r="72" spans="1:7" x14ac:dyDescent="0.3">
      <c r="A72" s="10">
        <v>40561</v>
      </c>
      <c r="B72" s="9" t="s">
        <v>6</v>
      </c>
      <c r="C72" s="9" t="s">
        <v>24</v>
      </c>
      <c r="D72" s="9" t="s">
        <v>33</v>
      </c>
      <c r="E72" s="9">
        <v>83</v>
      </c>
      <c r="F72" s="9">
        <v>650</v>
      </c>
      <c r="G72" s="9">
        <f>DATOS!$E72*DATOS!$F72</f>
        <v>53950</v>
      </c>
    </row>
    <row r="73" spans="1:7" x14ac:dyDescent="0.3">
      <c r="A73" s="10">
        <v>40354</v>
      </c>
      <c r="B73" s="9" t="s">
        <v>6</v>
      </c>
      <c r="C73" s="9" t="s">
        <v>29</v>
      </c>
      <c r="D73" s="9" t="s">
        <v>30</v>
      </c>
      <c r="E73" s="9">
        <v>28</v>
      </c>
      <c r="F73" s="9">
        <v>450</v>
      </c>
      <c r="G73" s="9">
        <f>DATOS!$E73*DATOS!$F73</f>
        <v>12600</v>
      </c>
    </row>
    <row r="74" spans="1:7" x14ac:dyDescent="0.3">
      <c r="A74" s="10">
        <v>41789</v>
      </c>
      <c r="B74" s="9" t="s">
        <v>6</v>
      </c>
      <c r="C74" s="9" t="s">
        <v>29</v>
      </c>
      <c r="D74" s="9" t="s">
        <v>32</v>
      </c>
      <c r="E74" s="9">
        <v>233</v>
      </c>
      <c r="F74" s="9">
        <v>950</v>
      </c>
      <c r="G74" s="9">
        <f>DATOS!$E74*DATOS!$F74</f>
        <v>221350</v>
      </c>
    </row>
    <row r="75" spans="1:7" x14ac:dyDescent="0.3">
      <c r="A75" s="10">
        <v>41556</v>
      </c>
      <c r="B75" s="9" t="s">
        <v>6</v>
      </c>
      <c r="C75" s="9" t="s">
        <v>27</v>
      </c>
      <c r="D75" s="9" t="s">
        <v>32</v>
      </c>
      <c r="E75" s="9">
        <v>26</v>
      </c>
      <c r="F75" s="9">
        <v>820</v>
      </c>
      <c r="G75" s="9">
        <f>DATOS!$E75*DATOS!$F75</f>
        <v>21320</v>
      </c>
    </row>
    <row r="76" spans="1:7" x14ac:dyDescent="0.3">
      <c r="A76" s="10">
        <v>41512</v>
      </c>
      <c r="B76" s="9" t="s">
        <v>6</v>
      </c>
      <c r="C76" s="9" t="s">
        <v>26</v>
      </c>
      <c r="D76" s="9" t="s">
        <v>33</v>
      </c>
      <c r="E76" s="9">
        <v>44</v>
      </c>
      <c r="F76" s="9">
        <v>650</v>
      </c>
      <c r="G76" s="9">
        <f>DATOS!$E76*DATOS!$F76</f>
        <v>28600</v>
      </c>
    </row>
    <row r="77" spans="1:7" x14ac:dyDescent="0.3">
      <c r="A77" s="10">
        <v>40805</v>
      </c>
      <c r="B77" s="9" t="s">
        <v>6</v>
      </c>
      <c r="C77" s="9" t="s">
        <v>26</v>
      </c>
      <c r="D77" s="9" t="s">
        <v>37</v>
      </c>
      <c r="E77" s="9">
        <v>48</v>
      </c>
      <c r="F77" s="9">
        <v>1200</v>
      </c>
      <c r="G77" s="9">
        <f>DATOS!$E77*DATOS!$F77</f>
        <v>57600</v>
      </c>
    </row>
    <row r="78" spans="1:7" x14ac:dyDescent="0.3">
      <c r="A78" s="10">
        <v>40244</v>
      </c>
      <c r="B78" s="9" t="s">
        <v>6</v>
      </c>
      <c r="C78" s="9" t="s">
        <v>28</v>
      </c>
      <c r="D78" s="9" t="s">
        <v>32</v>
      </c>
      <c r="E78" s="9">
        <v>6</v>
      </c>
      <c r="F78" s="9">
        <v>820</v>
      </c>
      <c r="G78" s="9">
        <f>DATOS!$E78*DATOS!$F78</f>
        <v>4920</v>
      </c>
    </row>
    <row r="79" spans="1:7" x14ac:dyDescent="0.3">
      <c r="A79" s="10">
        <v>40230</v>
      </c>
      <c r="B79" s="9" t="s">
        <v>6</v>
      </c>
      <c r="C79" s="9" t="s">
        <v>27</v>
      </c>
      <c r="D79" s="9" t="s">
        <v>37</v>
      </c>
      <c r="E79" s="9">
        <v>70</v>
      </c>
      <c r="F79" s="9">
        <v>1200</v>
      </c>
      <c r="G79" s="9">
        <f>DATOS!$E79*DATOS!$F79</f>
        <v>84000</v>
      </c>
    </row>
    <row r="80" spans="1:7" x14ac:dyDescent="0.3">
      <c r="A80" s="10">
        <v>41414</v>
      </c>
      <c r="B80" s="9" t="s">
        <v>6</v>
      </c>
      <c r="C80" s="9" t="s">
        <v>25</v>
      </c>
      <c r="D80" s="9" t="s">
        <v>32</v>
      </c>
      <c r="E80" s="9">
        <v>25</v>
      </c>
      <c r="F80" s="9">
        <v>820</v>
      </c>
      <c r="G80" s="9">
        <f>DATOS!$E80*DATOS!$F80</f>
        <v>20500</v>
      </c>
    </row>
    <row r="81" spans="1:7" x14ac:dyDescent="0.3">
      <c r="A81" s="10">
        <v>40421</v>
      </c>
      <c r="B81" s="9" t="s">
        <v>6</v>
      </c>
      <c r="C81" s="9" t="s">
        <v>24</v>
      </c>
      <c r="D81" s="9" t="s">
        <v>31</v>
      </c>
      <c r="E81" s="9">
        <v>107</v>
      </c>
      <c r="F81" s="9">
        <v>800</v>
      </c>
      <c r="G81" s="9">
        <f>DATOS!$E81*DATOS!$F81</f>
        <v>85600</v>
      </c>
    </row>
    <row r="82" spans="1:7" x14ac:dyDescent="0.3">
      <c r="A82" s="10">
        <v>40513</v>
      </c>
      <c r="B82" s="9" t="s">
        <v>6</v>
      </c>
      <c r="C82" s="9" t="s">
        <v>24</v>
      </c>
      <c r="D82" s="9" t="s">
        <v>32</v>
      </c>
      <c r="E82" s="9">
        <v>10</v>
      </c>
      <c r="F82" s="9">
        <v>820</v>
      </c>
      <c r="G82" s="9">
        <f>DATOS!$E82*DATOS!$F82</f>
        <v>8200</v>
      </c>
    </row>
    <row r="83" spans="1:7" x14ac:dyDescent="0.3">
      <c r="A83" s="10">
        <v>40380</v>
      </c>
      <c r="B83" s="9" t="s">
        <v>6</v>
      </c>
      <c r="C83" s="9" t="s">
        <v>29</v>
      </c>
      <c r="D83" s="9" t="s">
        <v>30</v>
      </c>
      <c r="E83" s="9">
        <v>23</v>
      </c>
      <c r="F83" s="9">
        <v>450</v>
      </c>
      <c r="G83" s="9">
        <f>DATOS!$E83*DATOS!$F83</f>
        <v>10350</v>
      </c>
    </row>
    <row r="84" spans="1:7" x14ac:dyDescent="0.3">
      <c r="A84" s="10">
        <v>41383</v>
      </c>
      <c r="B84" s="9" t="s">
        <v>6</v>
      </c>
      <c r="C84" s="9" t="s">
        <v>24</v>
      </c>
      <c r="D84" s="9" t="s">
        <v>32</v>
      </c>
      <c r="E84" s="9">
        <v>75</v>
      </c>
      <c r="F84" s="9">
        <v>820</v>
      </c>
      <c r="G84" s="9">
        <f>DATOS!$E84*DATOS!$F84</f>
        <v>61500</v>
      </c>
    </row>
    <row r="85" spans="1:7" x14ac:dyDescent="0.3">
      <c r="A85" s="10">
        <v>40757</v>
      </c>
      <c r="B85" s="9" t="s">
        <v>6</v>
      </c>
      <c r="C85" s="9" t="s">
        <v>25</v>
      </c>
      <c r="D85" s="9" t="s">
        <v>31</v>
      </c>
      <c r="E85" s="9">
        <v>208</v>
      </c>
      <c r="F85" s="9">
        <v>800</v>
      </c>
      <c r="G85" s="9">
        <f>DATOS!$E85*DATOS!$F85</f>
        <v>166400</v>
      </c>
    </row>
    <row r="86" spans="1:7" x14ac:dyDescent="0.3">
      <c r="A86" s="10">
        <v>40441</v>
      </c>
      <c r="B86" s="9" t="s">
        <v>6</v>
      </c>
      <c r="C86" s="9" t="s">
        <v>29</v>
      </c>
      <c r="D86" s="9" t="s">
        <v>37</v>
      </c>
      <c r="E86" s="9">
        <v>161</v>
      </c>
      <c r="F86" s="9">
        <v>1200</v>
      </c>
      <c r="G86" s="9">
        <f>DATOS!$E86*DATOS!$F86</f>
        <v>193200</v>
      </c>
    </row>
    <row r="87" spans="1:7" x14ac:dyDescent="0.3">
      <c r="A87" s="10">
        <v>41142</v>
      </c>
      <c r="B87" s="9" t="s">
        <v>6</v>
      </c>
      <c r="C87" s="9" t="s">
        <v>29</v>
      </c>
      <c r="D87" s="9" t="s">
        <v>31</v>
      </c>
      <c r="E87" s="9">
        <v>91</v>
      </c>
      <c r="F87" s="9">
        <v>800</v>
      </c>
      <c r="G87" s="9">
        <f>DATOS!$E87*DATOS!$F87</f>
        <v>72800</v>
      </c>
    </row>
    <row r="88" spans="1:7" x14ac:dyDescent="0.3">
      <c r="A88" s="10">
        <v>40432</v>
      </c>
      <c r="B88" s="9" t="s">
        <v>6</v>
      </c>
      <c r="C88" s="9" t="s">
        <v>24</v>
      </c>
      <c r="D88" s="9" t="s">
        <v>31</v>
      </c>
      <c r="E88" s="9">
        <v>7</v>
      </c>
      <c r="F88" s="9">
        <v>800</v>
      </c>
      <c r="G88" s="9">
        <f>DATOS!$E88*DATOS!$F88</f>
        <v>5600</v>
      </c>
    </row>
    <row r="89" spans="1:7" x14ac:dyDescent="0.3">
      <c r="A89" s="10">
        <v>41403</v>
      </c>
      <c r="B89" s="9" t="s">
        <v>6</v>
      </c>
      <c r="C89" s="9" t="s">
        <v>29</v>
      </c>
      <c r="D89" s="9" t="s">
        <v>32</v>
      </c>
      <c r="E89" s="9">
        <v>22</v>
      </c>
      <c r="F89" s="9">
        <v>820</v>
      </c>
      <c r="G89" s="9">
        <f>DATOS!$E89*DATOS!$F89</f>
        <v>18040</v>
      </c>
    </row>
    <row r="90" spans="1:7" x14ac:dyDescent="0.3">
      <c r="A90" s="10">
        <v>41711</v>
      </c>
      <c r="B90" s="9" t="s">
        <v>6</v>
      </c>
      <c r="C90" s="9" t="s">
        <v>26</v>
      </c>
      <c r="D90" s="9" t="s">
        <v>33</v>
      </c>
      <c r="E90" s="9">
        <v>36</v>
      </c>
      <c r="F90" s="9">
        <v>650</v>
      </c>
      <c r="G90" s="9">
        <f>DATOS!$E90*DATOS!$F90</f>
        <v>23400</v>
      </c>
    </row>
    <row r="91" spans="1:7" x14ac:dyDescent="0.3">
      <c r="A91" s="10">
        <v>40253</v>
      </c>
      <c r="B91" s="9" t="s">
        <v>6</v>
      </c>
      <c r="C91" s="9" t="s">
        <v>25</v>
      </c>
      <c r="D91" s="9" t="s">
        <v>31</v>
      </c>
      <c r="E91" s="9">
        <v>112</v>
      </c>
      <c r="F91" s="9">
        <v>800</v>
      </c>
      <c r="G91" s="9">
        <f>DATOS!$E91*DATOS!$F91</f>
        <v>89600</v>
      </c>
    </row>
    <row r="92" spans="1:7" x14ac:dyDescent="0.3">
      <c r="A92" s="10">
        <v>40995</v>
      </c>
      <c r="B92" s="9" t="s">
        <v>6</v>
      </c>
      <c r="C92" s="9" t="s">
        <v>28</v>
      </c>
      <c r="D92" s="9" t="s">
        <v>32</v>
      </c>
      <c r="E92" s="9">
        <v>15</v>
      </c>
      <c r="F92" s="9">
        <v>820</v>
      </c>
      <c r="G92" s="9">
        <f>DATOS!$E92*DATOS!$F92</f>
        <v>12300</v>
      </c>
    </row>
    <row r="93" spans="1:7" x14ac:dyDescent="0.3">
      <c r="A93" s="10">
        <v>41073</v>
      </c>
      <c r="B93" s="9" t="s">
        <v>6</v>
      </c>
      <c r="C93" s="9" t="s">
        <v>25</v>
      </c>
      <c r="D93" s="9" t="s">
        <v>32</v>
      </c>
      <c r="E93" s="9">
        <v>65</v>
      </c>
      <c r="F93" s="9">
        <v>820</v>
      </c>
      <c r="G93" s="9">
        <f>DATOS!$E93*DATOS!$F93</f>
        <v>53300</v>
      </c>
    </row>
    <row r="94" spans="1:7" x14ac:dyDescent="0.3">
      <c r="A94" s="10">
        <v>41626</v>
      </c>
      <c r="B94" s="9" t="s">
        <v>6</v>
      </c>
      <c r="C94" s="9" t="s">
        <v>29</v>
      </c>
      <c r="D94" s="9" t="s">
        <v>31</v>
      </c>
      <c r="E94" s="9">
        <v>87</v>
      </c>
      <c r="F94" s="9">
        <v>800</v>
      </c>
      <c r="G94" s="9">
        <f>DATOS!$E94*DATOS!$F94</f>
        <v>69600</v>
      </c>
    </row>
    <row r="95" spans="1:7" x14ac:dyDescent="0.3">
      <c r="A95" s="10">
        <v>40909</v>
      </c>
      <c r="B95" s="9" t="s">
        <v>6</v>
      </c>
      <c r="C95" s="9" t="s">
        <v>25</v>
      </c>
      <c r="D95" s="9" t="s">
        <v>31</v>
      </c>
      <c r="E95" s="9">
        <v>1</v>
      </c>
      <c r="F95" s="9">
        <v>800</v>
      </c>
      <c r="G95" s="9">
        <f>DATOS!$E95*DATOS!$F95</f>
        <v>800</v>
      </c>
    </row>
    <row r="96" spans="1:7" x14ac:dyDescent="0.3">
      <c r="A96" s="10">
        <v>40241</v>
      </c>
      <c r="B96" s="9" t="s">
        <v>6</v>
      </c>
      <c r="C96" s="9" t="s">
        <v>26</v>
      </c>
      <c r="D96" s="9" t="s">
        <v>31</v>
      </c>
      <c r="E96" s="9">
        <v>57</v>
      </c>
      <c r="F96" s="9">
        <v>800</v>
      </c>
      <c r="G96" s="9">
        <f>DATOS!$E96*DATOS!$F96</f>
        <v>45600</v>
      </c>
    </row>
    <row r="97" spans="1:7" x14ac:dyDescent="0.3">
      <c r="A97" s="10">
        <v>40311</v>
      </c>
      <c r="B97" s="9" t="s">
        <v>6</v>
      </c>
      <c r="C97" s="9" t="s">
        <v>27</v>
      </c>
      <c r="D97" s="9" t="s">
        <v>37</v>
      </c>
      <c r="E97" s="9">
        <v>22</v>
      </c>
      <c r="F97" s="9">
        <v>1200</v>
      </c>
      <c r="G97" s="9">
        <f>DATOS!$E97*DATOS!$F97</f>
        <v>26400</v>
      </c>
    </row>
    <row r="98" spans="1:7" x14ac:dyDescent="0.3">
      <c r="A98" s="10">
        <v>40216</v>
      </c>
      <c r="B98" s="9" t="s">
        <v>6</v>
      </c>
      <c r="C98" s="9" t="s">
        <v>27</v>
      </c>
      <c r="D98" s="9" t="s">
        <v>33</v>
      </c>
      <c r="E98" s="9">
        <v>48</v>
      </c>
      <c r="F98" s="9">
        <v>650</v>
      </c>
      <c r="G98" s="9">
        <f>DATOS!$E98*DATOS!$F98</f>
        <v>31200</v>
      </c>
    </row>
    <row r="99" spans="1:7" x14ac:dyDescent="0.3">
      <c r="A99" s="10">
        <v>41960</v>
      </c>
      <c r="B99" s="9" t="s">
        <v>6</v>
      </c>
      <c r="C99" s="9" t="s">
        <v>24</v>
      </c>
      <c r="D99" s="9" t="s">
        <v>31</v>
      </c>
      <c r="E99" s="9">
        <v>15</v>
      </c>
      <c r="F99" s="9">
        <v>800</v>
      </c>
      <c r="G99" s="9">
        <f>DATOS!$E99*DATOS!$F99</f>
        <v>12000</v>
      </c>
    </row>
    <row r="100" spans="1:7" x14ac:dyDescent="0.3">
      <c r="A100" s="10">
        <v>41976</v>
      </c>
      <c r="B100" s="9" t="s">
        <v>6</v>
      </c>
      <c r="C100" s="9" t="s">
        <v>28</v>
      </c>
      <c r="D100" s="9" t="s">
        <v>33</v>
      </c>
      <c r="E100" s="9">
        <v>1</v>
      </c>
      <c r="F100" s="9">
        <v>650</v>
      </c>
      <c r="G100" s="9">
        <f>DATOS!$E100*DATOS!$F100</f>
        <v>650</v>
      </c>
    </row>
    <row r="101" spans="1:7" x14ac:dyDescent="0.3">
      <c r="A101" s="10">
        <v>41548</v>
      </c>
      <c r="B101" s="9" t="s">
        <v>6</v>
      </c>
      <c r="C101" s="9" t="s">
        <v>29</v>
      </c>
      <c r="D101" s="9" t="s">
        <v>32</v>
      </c>
      <c r="E101" s="9">
        <v>56</v>
      </c>
      <c r="F101" s="9">
        <v>820</v>
      </c>
      <c r="G101" s="9">
        <f>DATOS!$E101*DATOS!$F101</f>
        <v>45920</v>
      </c>
    </row>
    <row r="102" spans="1:7" x14ac:dyDescent="0.3">
      <c r="A102" s="10">
        <v>40963</v>
      </c>
      <c r="B102" s="9" t="s">
        <v>6</v>
      </c>
      <c r="C102" s="9" t="s">
        <v>24</v>
      </c>
      <c r="D102" s="9" t="s">
        <v>32</v>
      </c>
      <c r="E102" s="9">
        <v>6</v>
      </c>
      <c r="F102" s="9">
        <v>820</v>
      </c>
      <c r="G102" s="9">
        <f>DATOS!$E102*DATOS!$F102</f>
        <v>4920</v>
      </c>
    </row>
    <row r="103" spans="1:7" x14ac:dyDescent="0.3">
      <c r="A103" s="10">
        <v>40651</v>
      </c>
      <c r="B103" s="9" t="s">
        <v>6</v>
      </c>
      <c r="C103" s="9" t="s">
        <v>24</v>
      </c>
      <c r="D103" s="9" t="s">
        <v>32</v>
      </c>
      <c r="E103" s="9">
        <v>114</v>
      </c>
      <c r="F103" s="9">
        <v>820</v>
      </c>
      <c r="G103" s="9">
        <f>DATOS!$E103*DATOS!$F103</f>
        <v>93480</v>
      </c>
    </row>
    <row r="104" spans="1:7" x14ac:dyDescent="0.3">
      <c r="A104" s="10">
        <v>40747</v>
      </c>
      <c r="B104" s="9" t="s">
        <v>6</v>
      </c>
      <c r="C104" s="9" t="s">
        <v>27</v>
      </c>
      <c r="D104" s="9" t="s">
        <v>32</v>
      </c>
      <c r="E104" s="9">
        <v>16</v>
      </c>
      <c r="F104" s="9">
        <v>950</v>
      </c>
      <c r="G104" s="9">
        <f>DATOS!$E104*DATOS!$F104</f>
        <v>15200</v>
      </c>
    </row>
    <row r="105" spans="1:7" x14ac:dyDescent="0.3">
      <c r="A105" s="10">
        <v>41844</v>
      </c>
      <c r="B105" s="9" t="s">
        <v>6</v>
      </c>
      <c r="C105" s="9" t="s">
        <v>24</v>
      </c>
      <c r="D105" s="9" t="s">
        <v>32</v>
      </c>
      <c r="E105" s="9">
        <v>59</v>
      </c>
      <c r="F105" s="9">
        <v>950</v>
      </c>
      <c r="G105" s="9">
        <f>DATOS!$E105*DATOS!$F105</f>
        <v>56050</v>
      </c>
    </row>
    <row r="106" spans="1:7" x14ac:dyDescent="0.3">
      <c r="A106" s="10">
        <v>40956</v>
      </c>
      <c r="B106" s="9" t="s">
        <v>6</v>
      </c>
      <c r="C106" s="9" t="s">
        <v>29</v>
      </c>
      <c r="D106" s="9" t="s">
        <v>33</v>
      </c>
      <c r="E106" s="9">
        <v>9</v>
      </c>
      <c r="F106" s="9">
        <v>650</v>
      </c>
      <c r="G106" s="9">
        <f>DATOS!$E106*DATOS!$F106</f>
        <v>5850</v>
      </c>
    </row>
    <row r="107" spans="1:7" x14ac:dyDescent="0.3">
      <c r="A107" s="10">
        <v>40817</v>
      </c>
      <c r="B107" s="9" t="s">
        <v>6</v>
      </c>
      <c r="C107" s="9" t="s">
        <v>26</v>
      </c>
      <c r="D107" s="9" t="s">
        <v>32</v>
      </c>
      <c r="E107" s="9">
        <v>105</v>
      </c>
      <c r="F107" s="9">
        <v>820</v>
      </c>
      <c r="G107" s="9">
        <f>DATOS!$E107*DATOS!$F107</f>
        <v>86100</v>
      </c>
    </row>
    <row r="108" spans="1:7" x14ac:dyDescent="0.3">
      <c r="A108" s="10">
        <v>40272</v>
      </c>
      <c r="B108" s="9" t="s">
        <v>6</v>
      </c>
      <c r="C108" s="9" t="s">
        <v>27</v>
      </c>
      <c r="D108" s="9" t="s">
        <v>33</v>
      </c>
      <c r="E108" s="9">
        <v>6</v>
      </c>
      <c r="F108" s="9">
        <v>650</v>
      </c>
      <c r="G108" s="9">
        <f>DATOS!$E108*DATOS!$F108</f>
        <v>3900</v>
      </c>
    </row>
    <row r="109" spans="1:7" x14ac:dyDescent="0.3">
      <c r="A109" s="10">
        <v>41794</v>
      </c>
      <c r="B109" s="9" t="s">
        <v>6</v>
      </c>
      <c r="C109" s="9" t="s">
        <v>26</v>
      </c>
      <c r="D109" s="9" t="s">
        <v>30</v>
      </c>
      <c r="E109" s="9">
        <v>47</v>
      </c>
      <c r="F109" s="9">
        <v>450</v>
      </c>
      <c r="G109" s="9">
        <f>DATOS!$E109*DATOS!$F109</f>
        <v>21150</v>
      </c>
    </row>
    <row r="110" spans="1:7" x14ac:dyDescent="0.3">
      <c r="A110" s="10">
        <v>41521</v>
      </c>
      <c r="B110" s="9" t="s">
        <v>6</v>
      </c>
      <c r="C110" s="9" t="s">
        <v>28</v>
      </c>
      <c r="D110" s="9" t="s">
        <v>37</v>
      </c>
      <c r="E110" s="9">
        <v>16</v>
      </c>
      <c r="F110" s="9">
        <v>1200</v>
      </c>
      <c r="G110" s="9">
        <f>DATOS!$E110*DATOS!$F110</f>
        <v>19200</v>
      </c>
    </row>
    <row r="111" spans="1:7" x14ac:dyDescent="0.3">
      <c r="A111" s="10">
        <v>41091</v>
      </c>
      <c r="B111" s="9" t="s">
        <v>6</v>
      </c>
      <c r="C111" s="9" t="s">
        <v>28</v>
      </c>
      <c r="D111" s="9" t="s">
        <v>33</v>
      </c>
      <c r="E111" s="9">
        <v>19</v>
      </c>
      <c r="F111" s="9">
        <v>650</v>
      </c>
      <c r="G111" s="9">
        <f>DATOS!$E111*DATOS!$F111</f>
        <v>12350</v>
      </c>
    </row>
    <row r="112" spans="1:7" x14ac:dyDescent="0.3">
      <c r="A112" s="10">
        <v>40390</v>
      </c>
      <c r="B112" s="9" t="s">
        <v>6</v>
      </c>
      <c r="C112" s="9" t="s">
        <v>28</v>
      </c>
      <c r="D112" s="9" t="s">
        <v>37</v>
      </c>
      <c r="E112" s="9">
        <v>16</v>
      </c>
      <c r="F112" s="9">
        <v>1200</v>
      </c>
      <c r="G112" s="9">
        <f>DATOS!$E112*DATOS!$F112</f>
        <v>19200</v>
      </c>
    </row>
    <row r="113" spans="1:7" x14ac:dyDescent="0.3">
      <c r="A113" s="10">
        <v>40897</v>
      </c>
      <c r="B113" s="9" t="s">
        <v>6</v>
      </c>
      <c r="C113" s="9" t="s">
        <v>29</v>
      </c>
      <c r="D113" s="9" t="s">
        <v>31</v>
      </c>
      <c r="E113" s="9">
        <v>59</v>
      </c>
      <c r="F113" s="9">
        <v>800</v>
      </c>
      <c r="G113" s="9">
        <f>DATOS!$E113*DATOS!$F113</f>
        <v>47200</v>
      </c>
    </row>
    <row r="114" spans="1:7" x14ac:dyDescent="0.3">
      <c r="A114" s="10">
        <v>41564</v>
      </c>
      <c r="B114" s="9" t="s">
        <v>6</v>
      </c>
      <c r="C114" s="9" t="s">
        <v>29</v>
      </c>
      <c r="D114" s="9" t="s">
        <v>31</v>
      </c>
      <c r="E114" s="9">
        <v>12</v>
      </c>
      <c r="F114" s="9">
        <v>800</v>
      </c>
      <c r="G114" s="9">
        <f>DATOS!$E114*DATOS!$F114</f>
        <v>9600</v>
      </c>
    </row>
    <row r="115" spans="1:7" x14ac:dyDescent="0.3">
      <c r="A115" s="10">
        <v>41284</v>
      </c>
      <c r="B115" s="9" t="s">
        <v>6</v>
      </c>
      <c r="C115" s="9" t="s">
        <v>24</v>
      </c>
      <c r="D115" s="9" t="s">
        <v>32</v>
      </c>
      <c r="E115" s="9">
        <v>50</v>
      </c>
      <c r="F115" s="9">
        <v>950</v>
      </c>
      <c r="G115" s="9">
        <f>DATOS!$E115*DATOS!$F115</f>
        <v>47500</v>
      </c>
    </row>
    <row r="116" spans="1:7" x14ac:dyDescent="0.3">
      <c r="A116" s="10">
        <v>41346</v>
      </c>
      <c r="B116" s="9" t="s">
        <v>6</v>
      </c>
      <c r="C116" s="9" t="s">
        <v>28</v>
      </c>
      <c r="D116" s="9" t="s">
        <v>32</v>
      </c>
      <c r="E116" s="9">
        <v>15</v>
      </c>
      <c r="F116" s="9">
        <v>820</v>
      </c>
      <c r="G116" s="9">
        <f>DATOS!$E116*DATOS!$F116</f>
        <v>12300</v>
      </c>
    </row>
    <row r="117" spans="1:7" x14ac:dyDescent="0.3">
      <c r="A117" s="10">
        <v>41567</v>
      </c>
      <c r="B117" s="9" t="s">
        <v>6</v>
      </c>
      <c r="C117" s="9" t="s">
        <v>28</v>
      </c>
      <c r="D117" s="9" t="s">
        <v>37</v>
      </c>
      <c r="E117" s="9">
        <v>11</v>
      </c>
      <c r="F117" s="9">
        <v>1200</v>
      </c>
      <c r="G117" s="9">
        <f>DATOS!$E117*DATOS!$F117</f>
        <v>13200</v>
      </c>
    </row>
    <row r="118" spans="1:7" x14ac:dyDescent="0.3">
      <c r="A118" s="10">
        <v>41345</v>
      </c>
      <c r="B118" s="9" t="s">
        <v>6</v>
      </c>
      <c r="C118" s="9" t="s">
        <v>24</v>
      </c>
      <c r="D118" s="9" t="s">
        <v>31</v>
      </c>
      <c r="E118" s="9">
        <v>24</v>
      </c>
      <c r="F118" s="9">
        <v>800</v>
      </c>
      <c r="G118" s="9">
        <f>DATOS!$E118*DATOS!$F118</f>
        <v>19200</v>
      </c>
    </row>
    <row r="119" spans="1:7" x14ac:dyDescent="0.3">
      <c r="A119" s="10">
        <v>40282</v>
      </c>
      <c r="B119" s="9" t="s">
        <v>6</v>
      </c>
      <c r="C119" s="9" t="s">
        <v>27</v>
      </c>
      <c r="D119" s="9" t="s">
        <v>33</v>
      </c>
      <c r="E119" s="9">
        <v>9</v>
      </c>
      <c r="F119" s="9">
        <v>650</v>
      </c>
      <c r="G119" s="9">
        <f>DATOS!$E119*DATOS!$F119</f>
        <v>5850</v>
      </c>
    </row>
    <row r="120" spans="1:7" x14ac:dyDescent="0.3">
      <c r="A120" s="10">
        <v>41192</v>
      </c>
      <c r="B120" s="9" t="s">
        <v>6</v>
      </c>
      <c r="C120" s="9" t="s">
        <v>27</v>
      </c>
      <c r="D120" s="9" t="s">
        <v>31</v>
      </c>
      <c r="E120" s="9">
        <v>7</v>
      </c>
      <c r="F120" s="9">
        <v>800</v>
      </c>
      <c r="G120" s="9">
        <f>DATOS!$E120*DATOS!$F120</f>
        <v>5600</v>
      </c>
    </row>
    <row r="121" spans="1:7" x14ac:dyDescent="0.3">
      <c r="A121" s="10">
        <v>41626</v>
      </c>
      <c r="B121" s="9" t="s">
        <v>6</v>
      </c>
      <c r="C121" s="9" t="s">
        <v>27</v>
      </c>
      <c r="D121" s="9" t="s">
        <v>32</v>
      </c>
      <c r="E121" s="9">
        <v>31</v>
      </c>
      <c r="F121" s="9">
        <v>950</v>
      </c>
      <c r="G121" s="9">
        <f>DATOS!$E121*DATOS!$F121</f>
        <v>29450</v>
      </c>
    </row>
    <row r="122" spans="1:7" x14ac:dyDescent="0.3">
      <c r="A122" s="10">
        <v>41791</v>
      </c>
      <c r="B122" s="9" t="s">
        <v>6</v>
      </c>
      <c r="C122" s="9" t="s">
        <v>28</v>
      </c>
      <c r="D122" s="9" t="s">
        <v>30</v>
      </c>
      <c r="E122" s="9">
        <v>29</v>
      </c>
      <c r="F122" s="9">
        <v>450</v>
      </c>
      <c r="G122" s="9">
        <f>DATOS!$E122*DATOS!$F122</f>
        <v>13050</v>
      </c>
    </row>
    <row r="123" spans="1:7" x14ac:dyDescent="0.3">
      <c r="A123" s="10">
        <v>41090</v>
      </c>
      <c r="B123" s="9" t="s">
        <v>7</v>
      </c>
      <c r="C123" s="9" t="s">
        <v>25</v>
      </c>
      <c r="D123" s="9" t="s">
        <v>32</v>
      </c>
      <c r="E123" s="9">
        <v>36</v>
      </c>
      <c r="F123" s="9">
        <v>820</v>
      </c>
      <c r="G123" s="9">
        <f>DATOS!$E123*DATOS!$F123</f>
        <v>29520</v>
      </c>
    </row>
    <row r="124" spans="1:7" x14ac:dyDescent="0.3">
      <c r="A124" s="10">
        <v>40951</v>
      </c>
      <c r="B124" s="9" t="s">
        <v>7</v>
      </c>
      <c r="C124" s="9" t="s">
        <v>26</v>
      </c>
      <c r="D124" s="9" t="s">
        <v>33</v>
      </c>
      <c r="E124" s="9">
        <v>16</v>
      </c>
      <c r="F124" s="9">
        <v>650</v>
      </c>
      <c r="G124" s="9">
        <f>DATOS!$E124*DATOS!$F124</f>
        <v>10400</v>
      </c>
    </row>
    <row r="125" spans="1:7" x14ac:dyDescent="0.3">
      <c r="A125" s="10">
        <v>40658</v>
      </c>
      <c r="B125" s="9" t="s">
        <v>7</v>
      </c>
      <c r="C125" s="9" t="s">
        <v>24</v>
      </c>
      <c r="D125" s="9" t="s">
        <v>37</v>
      </c>
      <c r="E125" s="9">
        <v>56</v>
      </c>
      <c r="F125" s="9">
        <v>1200</v>
      </c>
      <c r="G125" s="9">
        <f>DATOS!$E125*DATOS!$F125</f>
        <v>67200</v>
      </c>
    </row>
    <row r="126" spans="1:7" x14ac:dyDescent="0.3">
      <c r="A126" s="10">
        <v>40708</v>
      </c>
      <c r="B126" s="9" t="s">
        <v>7</v>
      </c>
      <c r="C126" s="9" t="s">
        <v>29</v>
      </c>
      <c r="D126" s="9" t="s">
        <v>37</v>
      </c>
      <c r="E126" s="9">
        <v>172</v>
      </c>
      <c r="F126" s="9">
        <v>1200</v>
      </c>
      <c r="G126" s="9">
        <f>DATOS!$E126*DATOS!$F126</f>
        <v>206400</v>
      </c>
    </row>
    <row r="127" spans="1:7" x14ac:dyDescent="0.3">
      <c r="A127" s="10">
        <v>40719</v>
      </c>
      <c r="B127" s="9" t="s">
        <v>7</v>
      </c>
      <c r="C127" s="9" t="s">
        <v>27</v>
      </c>
      <c r="D127" s="9" t="s">
        <v>37</v>
      </c>
      <c r="E127" s="9">
        <v>5</v>
      </c>
      <c r="F127" s="9">
        <v>1200</v>
      </c>
      <c r="G127" s="9">
        <f>DATOS!$E127*DATOS!$F127</f>
        <v>6000</v>
      </c>
    </row>
    <row r="128" spans="1:7" x14ac:dyDescent="0.3">
      <c r="A128" s="10">
        <v>40930</v>
      </c>
      <c r="B128" s="9" t="s">
        <v>7</v>
      </c>
      <c r="C128" s="9" t="s">
        <v>28</v>
      </c>
      <c r="D128" s="9" t="s">
        <v>32</v>
      </c>
      <c r="E128" s="9">
        <v>42</v>
      </c>
      <c r="F128" s="9">
        <v>820</v>
      </c>
      <c r="G128" s="9">
        <f>DATOS!$E128*DATOS!$F128</f>
        <v>34440</v>
      </c>
    </row>
    <row r="129" spans="1:7" x14ac:dyDescent="0.3">
      <c r="A129" s="10">
        <v>41486</v>
      </c>
      <c r="B129" s="9" t="s">
        <v>7</v>
      </c>
      <c r="C129" s="9" t="s">
        <v>29</v>
      </c>
      <c r="D129" s="9" t="s">
        <v>32</v>
      </c>
      <c r="E129" s="9">
        <v>52</v>
      </c>
      <c r="F129" s="9">
        <v>820</v>
      </c>
      <c r="G129" s="9">
        <f>DATOS!$E129*DATOS!$F129</f>
        <v>42640</v>
      </c>
    </row>
    <row r="130" spans="1:7" x14ac:dyDescent="0.3">
      <c r="A130" s="10">
        <v>41747</v>
      </c>
      <c r="B130" s="9" t="s">
        <v>7</v>
      </c>
      <c r="C130" s="9" t="s">
        <v>27</v>
      </c>
      <c r="D130" s="9" t="s">
        <v>33</v>
      </c>
      <c r="E130" s="9">
        <v>22</v>
      </c>
      <c r="F130" s="9">
        <v>650</v>
      </c>
      <c r="G130" s="9">
        <f>DATOS!$E130*DATOS!$F130</f>
        <v>14300</v>
      </c>
    </row>
    <row r="131" spans="1:7" x14ac:dyDescent="0.3">
      <c r="A131" s="10">
        <v>41010</v>
      </c>
      <c r="B131" s="9" t="s">
        <v>7</v>
      </c>
      <c r="C131" s="9" t="s">
        <v>27</v>
      </c>
      <c r="D131" s="9" t="s">
        <v>33</v>
      </c>
      <c r="E131" s="9">
        <v>21</v>
      </c>
      <c r="F131" s="9">
        <v>650</v>
      </c>
      <c r="G131" s="9">
        <f>DATOS!$E131*DATOS!$F131</f>
        <v>13650</v>
      </c>
    </row>
    <row r="132" spans="1:7" x14ac:dyDescent="0.3">
      <c r="A132" s="10">
        <v>41581</v>
      </c>
      <c r="B132" s="9" t="s">
        <v>7</v>
      </c>
      <c r="C132" s="9" t="s">
        <v>25</v>
      </c>
      <c r="D132" s="9" t="s">
        <v>32</v>
      </c>
      <c r="E132" s="9">
        <v>37</v>
      </c>
      <c r="F132" s="9">
        <v>820</v>
      </c>
      <c r="G132" s="9">
        <f>DATOS!$E132*DATOS!$F132</f>
        <v>30340</v>
      </c>
    </row>
    <row r="133" spans="1:7" x14ac:dyDescent="0.3">
      <c r="A133" s="10">
        <v>40991</v>
      </c>
      <c r="B133" s="9" t="s">
        <v>7</v>
      </c>
      <c r="C133" s="9" t="s">
        <v>26</v>
      </c>
      <c r="D133" s="9" t="s">
        <v>31</v>
      </c>
      <c r="E133" s="9">
        <v>34</v>
      </c>
      <c r="F133" s="9">
        <v>800</v>
      </c>
      <c r="G133" s="9">
        <f>DATOS!$E133*DATOS!$F133</f>
        <v>27200</v>
      </c>
    </row>
    <row r="134" spans="1:7" x14ac:dyDescent="0.3">
      <c r="A134" s="10">
        <v>41308</v>
      </c>
      <c r="B134" s="9" t="s">
        <v>7</v>
      </c>
      <c r="C134" s="9" t="s">
        <v>26</v>
      </c>
      <c r="D134" s="9" t="s">
        <v>32</v>
      </c>
      <c r="E134" s="9">
        <v>32</v>
      </c>
      <c r="F134" s="9">
        <v>820</v>
      </c>
      <c r="G134" s="9">
        <f>DATOS!$E134*DATOS!$F134</f>
        <v>26240</v>
      </c>
    </row>
    <row r="135" spans="1:7" x14ac:dyDescent="0.3">
      <c r="A135" s="10">
        <v>40701</v>
      </c>
      <c r="B135" s="9" t="s">
        <v>7</v>
      </c>
      <c r="C135" s="9" t="s">
        <v>25</v>
      </c>
      <c r="D135" s="9" t="s">
        <v>33</v>
      </c>
      <c r="E135" s="9">
        <v>88</v>
      </c>
      <c r="F135" s="9">
        <v>650</v>
      </c>
      <c r="G135" s="9">
        <f>DATOS!$E135*DATOS!$F135</f>
        <v>57200</v>
      </c>
    </row>
    <row r="136" spans="1:7" x14ac:dyDescent="0.3">
      <c r="A136" s="10">
        <v>40357</v>
      </c>
      <c r="B136" s="9" t="s">
        <v>7</v>
      </c>
      <c r="C136" s="9" t="s">
        <v>25</v>
      </c>
      <c r="D136" s="9" t="s">
        <v>32</v>
      </c>
      <c r="E136" s="9">
        <v>20</v>
      </c>
      <c r="F136" s="9">
        <v>950</v>
      </c>
      <c r="G136" s="9">
        <f>DATOS!$E136*DATOS!$F136</f>
        <v>19000</v>
      </c>
    </row>
    <row r="137" spans="1:7" x14ac:dyDescent="0.3">
      <c r="A137" s="10">
        <v>41538</v>
      </c>
      <c r="B137" s="9" t="s">
        <v>7</v>
      </c>
      <c r="C137" s="9" t="s">
        <v>29</v>
      </c>
      <c r="D137" s="9" t="s">
        <v>30</v>
      </c>
      <c r="E137" s="9">
        <v>29</v>
      </c>
      <c r="F137" s="9">
        <v>450</v>
      </c>
      <c r="G137" s="9">
        <f>DATOS!$E137*DATOS!$F137</f>
        <v>13050</v>
      </c>
    </row>
    <row r="138" spans="1:7" x14ac:dyDescent="0.3">
      <c r="A138" s="10">
        <v>41906</v>
      </c>
      <c r="B138" s="9" t="s">
        <v>7</v>
      </c>
      <c r="C138" s="9" t="s">
        <v>29</v>
      </c>
      <c r="D138" s="9" t="s">
        <v>31</v>
      </c>
      <c r="E138" s="9">
        <v>128</v>
      </c>
      <c r="F138" s="9">
        <v>800</v>
      </c>
      <c r="G138" s="9">
        <f>DATOS!$E138*DATOS!$F138</f>
        <v>102400</v>
      </c>
    </row>
    <row r="139" spans="1:7" x14ac:dyDescent="0.3">
      <c r="A139" s="10">
        <v>41175</v>
      </c>
      <c r="B139" s="9" t="s">
        <v>7</v>
      </c>
      <c r="C139" s="9" t="s">
        <v>24</v>
      </c>
      <c r="D139" s="9" t="s">
        <v>32</v>
      </c>
      <c r="E139" s="9">
        <v>86</v>
      </c>
      <c r="F139" s="9">
        <v>950</v>
      </c>
      <c r="G139" s="9">
        <f>DATOS!$E139*DATOS!$F139</f>
        <v>81700</v>
      </c>
    </row>
    <row r="140" spans="1:7" x14ac:dyDescent="0.3">
      <c r="A140" s="10">
        <v>40633</v>
      </c>
      <c r="B140" s="9" t="s">
        <v>7</v>
      </c>
      <c r="C140" s="9" t="s">
        <v>27</v>
      </c>
      <c r="D140" s="9" t="s">
        <v>31</v>
      </c>
      <c r="E140" s="9">
        <v>19</v>
      </c>
      <c r="F140" s="9">
        <v>800</v>
      </c>
      <c r="G140" s="9">
        <f>DATOS!$E140*DATOS!$F140</f>
        <v>15200</v>
      </c>
    </row>
    <row r="141" spans="1:7" x14ac:dyDescent="0.3">
      <c r="A141" s="10">
        <v>40213</v>
      </c>
      <c r="B141" s="9" t="s">
        <v>7</v>
      </c>
      <c r="C141" s="9" t="s">
        <v>24</v>
      </c>
      <c r="D141" s="9" t="s">
        <v>31</v>
      </c>
      <c r="E141" s="9">
        <v>77</v>
      </c>
      <c r="F141" s="9">
        <v>800</v>
      </c>
      <c r="G141" s="9">
        <f>DATOS!$E141*DATOS!$F141</f>
        <v>61600</v>
      </c>
    </row>
    <row r="142" spans="1:7" x14ac:dyDescent="0.3">
      <c r="A142" s="10">
        <v>41921</v>
      </c>
      <c r="B142" s="9" t="s">
        <v>7</v>
      </c>
      <c r="C142" s="9" t="s">
        <v>29</v>
      </c>
      <c r="D142" s="9" t="s">
        <v>33</v>
      </c>
      <c r="E142" s="9">
        <v>58</v>
      </c>
      <c r="F142" s="9">
        <v>650</v>
      </c>
      <c r="G142" s="9">
        <f>DATOS!$E142*DATOS!$F142</f>
        <v>37700</v>
      </c>
    </row>
    <row r="143" spans="1:7" x14ac:dyDescent="0.3">
      <c r="A143" s="10">
        <v>41166</v>
      </c>
      <c r="B143" s="9" t="s">
        <v>7</v>
      </c>
      <c r="C143" s="9" t="s">
        <v>28</v>
      </c>
      <c r="D143" s="9" t="s">
        <v>30</v>
      </c>
      <c r="E143" s="9">
        <v>11</v>
      </c>
      <c r="F143" s="9">
        <v>450</v>
      </c>
      <c r="G143" s="9">
        <f>DATOS!$E143*DATOS!$F143</f>
        <v>4950</v>
      </c>
    </row>
    <row r="144" spans="1:7" x14ac:dyDescent="0.3">
      <c r="A144" s="10">
        <v>41259</v>
      </c>
      <c r="B144" s="9" t="s">
        <v>7</v>
      </c>
      <c r="C144" s="9" t="s">
        <v>24</v>
      </c>
      <c r="D144" s="9" t="s">
        <v>32</v>
      </c>
      <c r="E144" s="9">
        <v>19</v>
      </c>
      <c r="F144" s="9">
        <v>950</v>
      </c>
      <c r="G144" s="9">
        <f>DATOS!$E144*DATOS!$F144</f>
        <v>18050</v>
      </c>
    </row>
    <row r="145" spans="1:7" x14ac:dyDescent="0.3">
      <c r="A145" s="10">
        <v>41779</v>
      </c>
      <c r="B145" s="9" t="s">
        <v>7</v>
      </c>
      <c r="C145" s="9" t="s">
        <v>26</v>
      </c>
      <c r="D145" s="9" t="s">
        <v>32</v>
      </c>
      <c r="E145" s="9">
        <v>46</v>
      </c>
      <c r="F145" s="9">
        <v>950</v>
      </c>
      <c r="G145" s="9">
        <f>DATOS!$E145*DATOS!$F145</f>
        <v>43700</v>
      </c>
    </row>
    <row r="146" spans="1:7" x14ac:dyDescent="0.3">
      <c r="A146" s="10">
        <v>41313</v>
      </c>
      <c r="B146" s="9" t="s">
        <v>7</v>
      </c>
      <c r="C146" s="9" t="s">
        <v>24</v>
      </c>
      <c r="D146" s="9" t="s">
        <v>32</v>
      </c>
      <c r="E146" s="9">
        <v>108</v>
      </c>
      <c r="F146" s="9">
        <v>950</v>
      </c>
      <c r="G146" s="9">
        <f>DATOS!$E146*DATOS!$F146</f>
        <v>102600</v>
      </c>
    </row>
    <row r="147" spans="1:7" x14ac:dyDescent="0.3">
      <c r="A147" s="10">
        <v>40455</v>
      </c>
      <c r="B147" s="9" t="s">
        <v>7</v>
      </c>
      <c r="C147" s="9" t="s">
        <v>28</v>
      </c>
      <c r="D147" s="9" t="s">
        <v>32</v>
      </c>
      <c r="E147" s="9">
        <v>14</v>
      </c>
      <c r="F147" s="9">
        <v>820</v>
      </c>
      <c r="G147" s="9">
        <f>DATOS!$E147*DATOS!$F147</f>
        <v>11480</v>
      </c>
    </row>
    <row r="148" spans="1:7" x14ac:dyDescent="0.3">
      <c r="A148" s="10">
        <v>41894</v>
      </c>
      <c r="B148" s="9" t="s">
        <v>7</v>
      </c>
      <c r="C148" s="9" t="s">
        <v>24</v>
      </c>
      <c r="D148" s="9" t="s">
        <v>32</v>
      </c>
      <c r="E148" s="9">
        <v>9</v>
      </c>
      <c r="F148" s="9">
        <v>950</v>
      </c>
      <c r="G148" s="9">
        <f>DATOS!$E148*DATOS!$F148</f>
        <v>8550</v>
      </c>
    </row>
    <row r="149" spans="1:7" x14ac:dyDescent="0.3">
      <c r="A149" s="10">
        <v>40673</v>
      </c>
      <c r="B149" s="9" t="s">
        <v>7</v>
      </c>
      <c r="C149" s="9" t="s">
        <v>28</v>
      </c>
      <c r="D149" s="9" t="s">
        <v>30</v>
      </c>
      <c r="E149" s="9">
        <v>1</v>
      </c>
      <c r="F149" s="9">
        <v>450</v>
      </c>
      <c r="G149" s="9">
        <f>DATOS!$E149*DATOS!$F149</f>
        <v>450</v>
      </c>
    </row>
    <row r="150" spans="1:7" x14ac:dyDescent="0.3">
      <c r="A150" s="10">
        <v>40280</v>
      </c>
      <c r="B150" s="9" t="s">
        <v>7</v>
      </c>
      <c r="C150" s="9" t="s">
        <v>26</v>
      </c>
      <c r="D150" s="9" t="s">
        <v>33</v>
      </c>
      <c r="E150" s="9">
        <v>132</v>
      </c>
      <c r="F150" s="9">
        <v>650</v>
      </c>
      <c r="G150" s="9">
        <f>DATOS!$E150*DATOS!$F150</f>
        <v>85800</v>
      </c>
    </row>
    <row r="151" spans="1:7" x14ac:dyDescent="0.3">
      <c r="A151" s="10">
        <v>41817</v>
      </c>
      <c r="B151" s="9" t="s">
        <v>7</v>
      </c>
      <c r="C151" s="9" t="s">
        <v>29</v>
      </c>
      <c r="D151" s="9" t="s">
        <v>33</v>
      </c>
      <c r="E151" s="9">
        <v>10</v>
      </c>
      <c r="F151" s="9">
        <v>650</v>
      </c>
      <c r="G151" s="9">
        <f>DATOS!$E151*DATOS!$F151</f>
        <v>6500</v>
      </c>
    </row>
    <row r="152" spans="1:7" x14ac:dyDescent="0.3">
      <c r="A152" s="10">
        <v>40960</v>
      </c>
      <c r="B152" s="9" t="s">
        <v>7</v>
      </c>
      <c r="C152" s="9" t="s">
        <v>26</v>
      </c>
      <c r="D152" s="9" t="s">
        <v>32</v>
      </c>
      <c r="E152" s="9">
        <v>16</v>
      </c>
      <c r="F152" s="9">
        <v>820</v>
      </c>
      <c r="G152" s="9">
        <f>DATOS!$E152*DATOS!$F152</f>
        <v>13120</v>
      </c>
    </row>
    <row r="153" spans="1:7" x14ac:dyDescent="0.3">
      <c r="A153" s="10">
        <v>41905</v>
      </c>
      <c r="B153" s="9" t="s">
        <v>7</v>
      </c>
      <c r="C153" s="9" t="s">
        <v>25</v>
      </c>
      <c r="D153" s="9" t="s">
        <v>32</v>
      </c>
      <c r="E153" s="9">
        <v>194</v>
      </c>
      <c r="F153" s="9">
        <v>820</v>
      </c>
      <c r="G153" s="9">
        <f>DATOS!$E153*DATOS!$F153</f>
        <v>159080</v>
      </c>
    </row>
    <row r="154" spans="1:7" x14ac:dyDescent="0.3">
      <c r="A154" s="10">
        <v>41819</v>
      </c>
      <c r="B154" s="9" t="s">
        <v>7</v>
      </c>
      <c r="C154" s="9" t="s">
        <v>24</v>
      </c>
      <c r="D154" s="9" t="s">
        <v>31</v>
      </c>
      <c r="E154" s="9">
        <v>104</v>
      </c>
      <c r="F154" s="9">
        <v>800</v>
      </c>
      <c r="G154" s="9">
        <f>DATOS!$E154*DATOS!$F154</f>
        <v>83200</v>
      </c>
    </row>
    <row r="155" spans="1:7" x14ac:dyDescent="0.3">
      <c r="A155" s="10">
        <v>40576</v>
      </c>
      <c r="B155" s="9" t="s">
        <v>7</v>
      </c>
      <c r="C155" s="9" t="s">
        <v>29</v>
      </c>
      <c r="D155" s="9" t="s">
        <v>31</v>
      </c>
      <c r="E155" s="9">
        <v>135</v>
      </c>
      <c r="F155" s="9">
        <v>800</v>
      </c>
      <c r="G155" s="9">
        <f>DATOS!$E155*DATOS!$F155</f>
        <v>108000</v>
      </c>
    </row>
    <row r="156" spans="1:7" x14ac:dyDescent="0.3">
      <c r="A156" s="10">
        <v>41591</v>
      </c>
      <c r="B156" s="9" t="s">
        <v>7</v>
      </c>
      <c r="C156" s="9" t="s">
        <v>28</v>
      </c>
      <c r="D156" s="9" t="s">
        <v>37</v>
      </c>
      <c r="E156" s="9">
        <v>32</v>
      </c>
      <c r="F156" s="9">
        <v>1200</v>
      </c>
      <c r="G156" s="9">
        <f>DATOS!$E156*DATOS!$F156</f>
        <v>38400</v>
      </c>
    </row>
    <row r="157" spans="1:7" x14ac:dyDescent="0.3">
      <c r="A157" s="10">
        <v>41822</v>
      </c>
      <c r="B157" s="9" t="s">
        <v>7</v>
      </c>
      <c r="C157" s="9" t="s">
        <v>28</v>
      </c>
      <c r="D157" s="9" t="s">
        <v>31</v>
      </c>
      <c r="E157" s="9">
        <v>2</v>
      </c>
      <c r="F157" s="9">
        <v>800</v>
      </c>
      <c r="G157" s="9">
        <f>DATOS!$E157*DATOS!$F157</f>
        <v>1600</v>
      </c>
    </row>
    <row r="158" spans="1:7" x14ac:dyDescent="0.3">
      <c r="A158" s="10">
        <v>40722</v>
      </c>
      <c r="B158" s="9" t="s">
        <v>7</v>
      </c>
      <c r="C158" s="9" t="s">
        <v>25</v>
      </c>
      <c r="D158" s="9" t="s">
        <v>30</v>
      </c>
      <c r="E158" s="9">
        <v>44</v>
      </c>
      <c r="F158" s="9">
        <v>450</v>
      </c>
      <c r="G158" s="9">
        <f>DATOS!$E158*DATOS!$F158</f>
        <v>19800</v>
      </c>
    </row>
    <row r="159" spans="1:7" x14ac:dyDescent="0.3">
      <c r="A159" s="10">
        <v>41601</v>
      </c>
      <c r="B159" s="9" t="s">
        <v>7</v>
      </c>
      <c r="C159" s="9" t="s">
        <v>29</v>
      </c>
      <c r="D159" s="9" t="s">
        <v>31</v>
      </c>
      <c r="E159" s="9">
        <v>82</v>
      </c>
      <c r="F159" s="9">
        <v>800</v>
      </c>
      <c r="G159" s="9">
        <f>DATOS!$E159*DATOS!$F159</f>
        <v>65600</v>
      </c>
    </row>
    <row r="160" spans="1:7" x14ac:dyDescent="0.3">
      <c r="A160" s="10">
        <v>40430</v>
      </c>
      <c r="B160" s="9" t="s">
        <v>7</v>
      </c>
      <c r="C160" s="9" t="s">
        <v>27</v>
      </c>
      <c r="D160" s="9" t="s">
        <v>33</v>
      </c>
      <c r="E160" s="9">
        <v>90</v>
      </c>
      <c r="F160" s="9">
        <v>650</v>
      </c>
      <c r="G160" s="9">
        <f>DATOS!$E160*DATOS!$F160</f>
        <v>58500</v>
      </c>
    </row>
    <row r="161" spans="1:7" x14ac:dyDescent="0.3">
      <c r="A161" s="10">
        <v>41472</v>
      </c>
      <c r="B161" s="9" t="s">
        <v>7</v>
      </c>
      <c r="C161" s="9" t="s">
        <v>24</v>
      </c>
      <c r="D161" s="9" t="s">
        <v>32</v>
      </c>
      <c r="E161" s="9">
        <v>115</v>
      </c>
      <c r="F161" s="9">
        <v>820</v>
      </c>
      <c r="G161" s="9">
        <f>DATOS!$E161*DATOS!$F161</f>
        <v>94300</v>
      </c>
    </row>
    <row r="162" spans="1:7" x14ac:dyDescent="0.3">
      <c r="A162" s="10">
        <v>40939</v>
      </c>
      <c r="B162" s="9" t="s">
        <v>7</v>
      </c>
      <c r="C162" s="9" t="s">
        <v>24</v>
      </c>
      <c r="D162" s="9" t="s">
        <v>32</v>
      </c>
      <c r="E162" s="9">
        <v>31</v>
      </c>
      <c r="F162" s="9">
        <v>820</v>
      </c>
      <c r="G162" s="9">
        <f>DATOS!$E162*DATOS!$F162</f>
        <v>25420</v>
      </c>
    </row>
    <row r="163" spans="1:7" x14ac:dyDescent="0.3">
      <c r="A163" s="10">
        <v>40429</v>
      </c>
      <c r="B163" s="9" t="s">
        <v>7</v>
      </c>
      <c r="C163" s="9" t="s">
        <v>27</v>
      </c>
      <c r="D163" s="9" t="s">
        <v>31</v>
      </c>
      <c r="E163" s="9">
        <v>18</v>
      </c>
      <c r="F163" s="9">
        <v>800</v>
      </c>
      <c r="G163" s="9">
        <f>DATOS!$E163*DATOS!$F163</f>
        <v>14400</v>
      </c>
    </row>
    <row r="164" spans="1:7" x14ac:dyDescent="0.3">
      <c r="A164" s="10">
        <v>41360</v>
      </c>
      <c r="B164" s="9" t="s">
        <v>7</v>
      </c>
      <c r="C164" s="9" t="s">
        <v>29</v>
      </c>
      <c r="D164" s="9" t="s">
        <v>31</v>
      </c>
      <c r="E164" s="9">
        <v>156</v>
      </c>
      <c r="F164" s="9">
        <v>800</v>
      </c>
      <c r="G164" s="9">
        <f>DATOS!$E164*DATOS!$F164</f>
        <v>124800</v>
      </c>
    </row>
    <row r="165" spans="1:7" x14ac:dyDescent="0.3">
      <c r="A165" s="10">
        <v>41710</v>
      </c>
      <c r="B165" s="9" t="s">
        <v>7</v>
      </c>
      <c r="C165" s="9" t="s">
        <v>25</v>
      </c>
      <c r="D165" s="9" t="s">
        <v>31</v>
      </c>
      <c r="E165" s="9">
        <v>70</v>
      </c>
      <c r="F165" s="9">
        <v>800</v>
      </c>
      <c r="G165" s="9">
        <f>DATOS!$E165*DATOS!$F165</f>
        <v>56000</v>
      </c>
    </row>
    <row r="166" spans="1:7" x14ac:dyDescent="0.3">
      <c r="A166" s="10">
        <v>41957</v>
      </c>
      <c r="B166" s="9" t="s">
        <v>7</v>
      </c>
      <c r="C166" s="9" t="s">
        <v>27</v>
      </c>
      <c r="D166" s="9" t="s">
        <v>37</v>
      </c>
      <c r="E166" s="9">
        <v>22</v>
      </c>
      <c r="F166" s="9">
        <v>1200</v>
      </c>
      <c r="G166" s="9">
        <f>DATOS!$E166*DATOS!$F166</f>
        <v>26400</v>
      </c>
    </row>
    <row r="167" spans="1:7" x14ac:dyDescent="0.3">
      <c r="A167" s="10">
        <v>40813</v>
      </c>
      <c r="B167" s="9" t="s">
        <v>7</v>
      </c>
      <c r="C167" s="9" t="s">
        <v>28</v>
      </c>
      <c r="D167" s="9" t="s">
        <v>33</v>
      </c>
      <c r="E167" s="9">
        <v>27</v>
      </c>
      <c r="F167" s="9">
        <v>650</v>
      </c>
      <c r="G167" s="9">
        <f>DATOS!$E167*DATOS!$F167</f>
        <v>17550</v>
      </c>
    </row>
    <row r="168" spans="1:7" x14ac:dyDescent="0.3">
      <c r="A168" s="10">
        <v>41662</v>
      </c>
      <c r="B168" s="9" t="s">
        <v>7</v>
      </c>
      <c r="C168" s="9" t="s">
        <v>25</v>
      </c>
      <c r="D168" s="9" t="s">
        <v>31</v>
      </c>
      <c r="E168" s="9">
        <v>42</v>
      </c>
      <c r="F168" s="9">
        <v>800</v>
      </c>
      <c r="G168" s="9">
        <f>DATOS!$E168*DATOS!$F168</f>
        <v>33600</v>
      </c>
    </row>
    <row r="169" spans="1:7" x14ac:dyDescent="0.3">
      <c r="A169" s="10">
        <v>40476</v>
      </c>
      <c r="B169" s="9" t="s">
        <v>7</v>
      </c>
      <c r="C169" s="9" t="s">
        <v>26</v>
      </c>
      <c r="D169" s="9" t="s">
        <v>31</v>
      </c>
      <c r="E169" s="9">
        <v>38</v>
      </c>
      <c r="F169" s="9">
        <v>800</v>
      </c>
      <c r="G169" s="9">
        <f>DATOS!$E169*DATOS!$F169</f>
        <v>30400</v>
      </c>
    </row>
    <row r="170" spans="1:7" x14ac:dyDescent="0.3">
      <c r="A170" s="10">
        <v>41500</v>
      </c>
      <c r="B170" s="9" t="s">
        <v>7</v>
      </c>
      <c r="C170" s="9" t="s">
        <v>29</v>
      </c>
      <c r="D170" s="9" t="s">
        <v>32</v>
      </c>
      <c r="E170" s="9">
        <v>34</v>
      </c>
      <c r="F170" s="9">
        <v>820</v>
      </c>
      <c r="G170" s="9">
        <f>DATOS!$E170*DATOS!$F170</f>
        <v>27880</v>
      </c>
    </row>
    <row r="171" spans="1:7" x14ac:dyDescent="0.3">
      <c r="A171" s="10">
        <v>41507</v>
      </c>
      <c r="B171" s="9" t="s">
        <v>7</v>
      </c>
      <c r="C171" s="9" t="s">
        <v>24</v>
      </c>
      <c r="D171" s="9" t="s">
        <v>31</v>
      </c>
      <c r="E171" s="9">
        <v>89</v>
      </c>
      <c r="F171" s="9">
        <v>800</v>
      </c>
      <c r="G171" s="9">
        <f>DATOS!$E171*DATOS!$F171</f>
        <v>71200</v>
      </c>
    </row>
    <row r="172" spans="1:7" x14ac:dyDescent="0.3">
      <c r="A172" s="10">
        <v>40598</v>
      </c>
      <c r="B172" s="9" t="s">
        <v>7</v>
      </c>
      <c r="C172" s="9" t="s">
        <v>27</v>
      </c>
      <c r="D172" s="9" t="s">
        <v>37</v>
      </c>
      <c r="E172" s="9">
        <v>66</v>
      </c>
      <c r="F172" s="9">
        <v>1200</v>
      </c>
      <c r="G172" s="9">
        <f>DATOS!$E172*DATOS!$F172</f>
        <v>79200</v>
      </c>
    </row>
    <row r="173" spans="1:7" x14ac:dyDescent="0.3">
      <c r="A173" s="10">
        <v>40270</v>
      </c>
      <c r="B173" s="9" t="s">
        <v>7</v>
      </c>
      <c r="C173" s="9" t="s">
        <v>29</v>
      </c>
      <c r="D173" s="9" t="s">
        <v>32</v>
      </c>
      <c r="E173" s="9">
        <v>30</v>
      </c>
      <c r="F173" s="9">
        <v>820</v>
      </c>
      <c r="G173" s="9">
        <f>DATOS!$E173*DATOS!$F173</f>
        <v>24600</v>
      </c>
    </row>
    <row r="174" spans="1:7" x14ac:dyDescent="0.3">
      <c r="A174" s="10">
        <v>40665</v>
      </c>
      <c r="B174" s="9" t="s">
        <v>7</v>
      </c>
      <c r="C174" s="9" t="s">
        <v>29</v>
      </c>
      <c r="D174" s="9" t="s">
        <v>37</v>
      </c>
      <c r="E174" s="9">
        <v>128</v>
      </c>
      <c r="F174" s="9">
        <v>1200</v>
      </c>
      <c r="G174" s="9">
        <f>DATOS!$E174*DATOS!$F174</f>
        <v>153600</v>
      </c>
    </row>
    <row r="175" spans="1:7" x14ac:dyDescent="0.3">
      <c r="A175" s="10">
        <v>41918</v>
      </c>
      <c r="B175" s="9" t="s">
        <v>7</v>
      </c>
      <c r="C175" s="9" t="s">
        <v>28</v>
      </c>
      <c r="D175" s="9" t="s">
        <v>31</v>
      </c>
      <c r="E175" s="9">
        <v>13</v>
      </c>
      <c r="F175" s="9">
        <v>800</v>
      </c>
      <c r="G175" s="9">
        <f>DATOS!$E175*DATOS!$F175</f>
        <v>10400</v>
      </c>
    </row>
    <row r="176" spans="1:7" x14ac:dyDescent="0.3">
      <c r="A176" s="10">
        <v>41817</v>
      </c>
      <c r="B176" s="9" t="s">
        <v>7</v>
      </c>
      <c r="C176" s="9" t="s">
        <v>27</v>
      </c>
      <c r="D176" s="9" t="s">
        <v>31</v>
      </c>
      <c r="E176" s="9">
        <v>64</v>
      </c>
      <c r="F176" s="9">
        <v>800</v>
      </c>
      <c r="G176" s="9">
        <f>DATOS!$E176*DATOS!$F176</f>
        <v>51200</v>
      </c>
    </row>
    <row r="177" spans="1:7" x14ac:dyDescent="0.3">
      <c r="A177" s="10">
        <v>40972</v>
      </c>
      <c r="B177" s="9" t="s">
        <v>8</v>
      </c>
      <c r="C177" s="9" t="s">
        <v>25</v>
      </c>
      <c r="D177" s="9" t="s">
        <v>32</v>
      </c>
      <c r="E177" s="9">
        <v>49</v>
      </c>
      <c r="F177" s="9">
        <v>820</v>
      </c>
      <c r="G177" s="9">
        <f>DATOS!$E177*DATOS!$F177</f>
        <v>40180</v>
      </c>
    </row>
    <row r="178" spans="1:7" x14ac:dyDescent="0.3">
      <c r="A178" s="10">
        <v>40818</v>
      </c>
      <c r="B178" s="9" t="s">
        <v>8</v>
      </c>
      <c r="C178" s="9" t="s">
        <v>26</v>
      </c>
      <c r="D178" s="9" t="s">
        <v>33</v>
      </c>
      <c r="E178" s="9">
        <v>76</v>
      </c>
      <c r="F178" s="9">
        <v>650</v>
      </c>
      <c r="G178" s="9">
        <f>DATOS!$E178*DATOS!$F178</f>
        <v>49400</v>
      </c>
    </row>
    <row r="179" spans="1:7" x14ac:dyDescent="0.3">
      <c r="A179" s="10">
        <v>40912</v>
      </c>
      <c r="B179" s="9" t="s">
        <v>8</v>
      </c>
      <c r="C179" s="9" t="s">
        <v>26</v>
      </c>
      <c r="D179" s="9" t="s">
        <v>32</v>
      </c>
      <c r="E179" s="9">
        <v>36</v>
      </c>
      <c r="F179" s="9">
        <v>820</v>
      </c>
      <c r="G179" s="9">
        <f>DATOS!$E179*DATOS!$F179</f>
        <v>29520</v>
      </c>
    </row>
    <row r="180" spans="1:7" x14ac:dyDescent="0.3">
      <c r="A180" s="10">
        <v>41544</v>
      </c>
      <c r="B180" s="9" t="s">
        <v>8</v>
      </c>
      <c r="C180" s="9" t="s">
        <v>26</v>
      </c>
      <c r="D180" s="9" t="s">
        <v>31</v>
      </c>
      <c r="E180" s="9">
        <v>126</v>
      </c>
      <c r="F180" s="9">
        <v>800</v>
      </c>
      <c r="G180" s="9">
        <f>DATOS!$E180*DATOS!$F180</f>
        <v>100800</v>
      </c>
    </row>
    <row r="181" spans="1:7" x14ac:dyDescent="0.3">
      <c r="A181" s="10">
        <v>41175</v>
      </c>
      <c r="B181" s="9" t="s">
        <v>8</v>
      </c>
      <c r="C181" s="9" t="s">
        <v>24</v>
      </c>
      <c r="D181" s="9" t="s">
        <v>33</v>
      </c>
      <c r="E181" s="9">
        <v>29</v>
      </c>
      <c r="F181" s="9">
        <v>650</v>
      </c>
      <c r="G181" s="9">
        <f>DATOS!$E181*DATOS!$F181</f>
        <v>18850</v>
      </c>
    </row>
    <row r="182" spans="1:7" x14ac:dyDescent="0.3">
      <c r="A182" s="10">
        <v>40400</v>
      </c>
      <c r="B182" s="9" t="s">
        <v>8</v>
      </c>
      <c r="C182" s="9" t="s">
        <v>28</v>
      </c>
      <c r="D182" s="9" t="s">
        <v>37</v>
      </c>
      <c r="E182" s="9">
        <v>6</v>
      </c>
      <c r="F182" s="9">
        <v>1200</v>
      </c>
      <c r="G182" s="9">
        <f>DATOS!$E182*DATOS!$F182</f>
        <v>7200</v>
      </c>
    </row>
    <row r="183" spans="1:7" x14ac:dyDescent="0.3">
      <c r="A183" s="10">
        <v>41920</v>
      </c>
      <c r="B183" s="9" t="s">
        <v>8</v>
      </c>
      <c r="C183" s="9" t="s">
        <v>28</v>
      </c>
      <c r="D183" s="9" t="s">
        <v>32</v>
      </c>
      <c r="E183" s="9">
        <v>38</v>
      </c>
      <c r="F183" s="9">
        <v>950</v>
      </c>
      <c r="G183" s="9">
        <f>DATOS!$E183*DATOS!$F183</f>
        <v>36100</v>
      </c>
    </row>
    <row r="184" spans="1:7" x14ac:dyDescent="0.3">
      <c r="A184" s="10">
        <v>40755</v>
      </c>
      <c r="B184" s="9" t="s">
        <v>8</v>
      </c>
      <c r="C184" s="9" t="s">
        <v>25</v>
      </c>
      <c r="D184" s="9" t="s">
        <v>33</v>
      </c>
      <c r="E184" s="9">
        <v>6</v>
      </c>
      <c r="F184" s="9">
        <v>650</v>
      </c>
      <c r="G184" s="9">
        <f>DATOS!$E184*DATOS!$F184</f>
        <v>3900</v>
      </c>
    </row>
    <row r="185" spans="1:7" x14ac:dyDescent="0.3">
      <c r="A185" s="10">
        <v>41776</v>
      </c>
      <c r="B185" s="9" t="s">
        <v>8</v>
      </c>
      <c r="C185" s="9" t="s">
        <v>25</v>
      </c>
      <c r="D185" s="9" t="s">
        <v>32</v>
      </c>
      <c r="E185" s="9">
        <v>119</v>
      </c>
      <c r="F185" s="9">
        <v>950</v>
      </c>
      <c r="G185" s="9">
        <f>DATOS!$E185*DATOS!$F185</f>
        <v>113050</v>
      </c>
    </row>
    <row r="186" spans="1:7" x14ac:dyDescent="0.3">
      <c r="A186" s="10">
        <v>41908</v>
      </c>
      <c r="B186" s="9" t="s">
        <v>8</v>
      </c>
      <c r="C186" s="9" t="s">
        <v>24</v>
      </c>
      <c r="D186" s="9" t="s">
        <v>32</v>
      </c>
      <c r="E186" s="9">
        <v>30</v>
      </c>
      <c r="F186" s="9">
        <v>820</v>
      </c>
      <c r="G186" s="9">
        <f>DATOS!$E186*DATOS!$F186</f>
        <v>24600</v>
      </c>
    </row>
    <row r="187" spans="1:7" x14ac:dyDescent="0.3">
      <c r="A187" s="10">
        <v>41694</v>
      </c>
      <c r="B187" s="9" t="s">
        <v>8</v>
      </c>
      <c r="C187" s="9" t="s">
        <v>25</v>
      </c>
      <c r="D187" s="9" t="s">
        <v>37</v>
      </c>
      <c r="E187" s="9">
        <v>8</v>
      </c>
      <c r="F187" s="9">
        <v>1200</v>
      </c>
      <c r="G187" s="9">
        <f>DATOS!$E187*DATOS!$F187</f>
        <v>9600</v>
      </c>
    </row>
    <row r="188" spans="1:7" x14ac:dyDescent="0.3">
      <c r="A188" s="10">
        <v>41204</v>
      </c>
      <c r="B188" s="9" t="s">
        <v>8</v>
      </c>
      <c r="C188" s="9" t="s">
        <v>28</v>
      </c>
      <c r="D188" s="9" t="s">
        <v>31</v>
      </c>
      <c r="E188" s="9">
        <v>6</v>
      </c>
      <c r="F188" s="9">
        <v>800</v>
      </c>
      <c r="G188" s="9">
        <f>DATOS!$E188*DATOS!$F188</f>
        <v>4800</v>
      </c>
    </row>
    <row r="189" spans="1:7" x14ac:dyDescent="0.3">
      <c r="A189" s="10">
        <v>40672</v>
      </c>
      <c r="B189" s="9" t="s">
        <v>8</v>
      </c>
      <c r="C189" s="9" t="s">
        <v>27</v>
      </c>
      <c r="D189" s="9" t="s">
        <v>31</v>
      </c>
      <c r="E189" s="9">
        <v>21</v>
      </c>
      <c r="F189" s="9">
        <v>800</v>
      </c>
      <c r="G189" s="9">
        <f>DATOS!$E189*DATOS!$F189</f>
        <v>16800</v>
      </c>
    </row>
    <row r="190" spans="1:7" x14ac:dyDescent="0.3">
      <c r="A190" s="10">
        <v>41404</v>
      </c>
      <c r="B190" s="9" t="s">
        <v>8</v>
      </c>
      <c r="C190" s="9" t="s">
        <v>24</v>
      </c>
      <c r="D190" s="9" t="s">
        <v>31</v>
      </c>
      <c r="E190" s="9">
        <v>85</v>
      </c>
      <c r="F190" s="9">
        <v>800</v>
      </c>
      <c r="G190" s="9">
        <f>DATOS!$E190*DATOS!$F190</f>
        <v>68000</v>
      </c>
    </row>
    <row r="191" spans="1:7" x14ac:dyDescent="0.3">
      <c r="A191" s="10">
        <v>41706</v>
      </c>
      <c r="B191" s="9" t="s">
        <v>8</v>
      </c>
      <c r="C191" s="9" t="s">
        <v>28</v>
      </c>
      <c r="D191" s="9" t="s">
        <v>31</v>
      </c>
      <c r="E191" s="9">
        <v>20</v>
      </c>
      <c r="F191" s="9">
        <v>800</v>
      </c>
      <c r="G191" s="9">
        <f>DATOS!$E191*DATOS!$F191</f>
        <v>16000</v>
      </c>
    </row>
    <row r="192" spans="1:7" x14ac:dyDescent="0.3">
      <c r="A192" s="10">
        <v>41575</v>
      </c>
      <c r="B192" s="9" t="s">
        <v>8</v>
      </c>
      <c r="C192" s="9" t="s">
        <v>27</v>
      </c>
      <c r="D192" s="9" t="s">
        <v>31</v>
      </c>
      <c r="E192" s="9">
        <v>7</v>
      </c>
      <c r="F192" s="9">
        <v>800</v>
      </c>
      <c r="G192" s="9">
        <f>DATOS!$E192*DATOS!$F192</f>
        <v>5600</v>
      </c>
    </row>
    <row r="193" spans="1:7" x14ac:dyDescent="0.3">
      <c r="A193" s="10">
        <v>41885</v>
      </c>
      <c r="B193" s="9" t="s">
        <v>8</v>
      </c>
      <c r="C193" s="9" t="s">
        <v>26</v>
      </c>
      <c r="D193" s="9" t="s">
        <v>31</v>
      </c>
      <c r="E193" s="9">
        <v>78</v>
      </c>
      <c r="F193" s="9">
        <v>800</v>
      </c>
      <c r="G193" s="9">
        <f>DATOS!$E193*DATOS!$F193</f>
        <v>62400</v>
      </c>
    </row>
    <row r="194" spans="1:7" x14ac:dyDescent="0.3">
      <c r="A194" s="10">
        <v>41135</v>
      </c>
      <c r="B194" s="9" t="s">
        <v>8</v>
      </c>
      <c r="C194" s="9" t="s">
        <v>27</v>
      </c>
      <c r="D194" s="9" t="s">
        <v>37</v>
      </c>
      <c r="E194" s="9">
        <v>17</v>
      </c>
      <c r="F194" s="9">
        <v>1200</v>
      </c>
      <c r="G194" s="9">
        <f>DATOS!$E194*DATOS!$F194</f>
        <v>20400</v>
      </c>
    </row>
    <row r="195" spans="1:7" x14ac:dyDescent="0.3">
      <c r="A195" s="10">
        <v>41494</v>
      </c>
      <c r="B195" s="9" t="s">
        <v>8</v>
      </c>
      <c r="C195" s="9" t="s">
        <v>25</v>
      </c>
      <c r="D195" s="9" t="s">
        <v>32</v>
      </c>
      <c r="E195" s="9">
        <v>13</v>
      </c>
      <c r="F195" s="9">
        <v>820</v>
      </c>
      <c r="G195" s="9">
        <f>DATOS!$E195*DATOS!$F195</f>
        <v>10660</v>
      </c>
    </row>
    <row r="196" spans="1:7" x14ac:dyDescent="0.3">
      <c r="A196" s="10">
        <v>40352</v>
      </c>
      <c r="B196" s="9" t="s">
        <v>8</v>
      </c>
      <c r="C196" s="9" t="s">
        <v>28</v>
      </c>
      <c r="D196" s="9" t="s">
        <v>31</v>
      </c>
      <c r="E196" s="9">
        <v>9</v>
      </c>
      <c r="F196" s="9">
        <v>800</v>
      </c>
      <c r="G196" s="9">
        <f>DATOS!$E196*DATOS!$F196</f>
        <v>7200</v>
      </c>
    </row>
    <row r="197" spans="1:7" x14ac:dyDescent="0.3">
      <c r="A197" s="10">
        <v>41363</v>
      </c>
      <c r="B197" s="9" t="s">
        <v>8</v>
      </c>
      <c r="C197" s="9" t="s">
        <v>26</v>
      </c>
      <c r="D197" s="9" t="s">
        <v>32</v>
      </c>
      <c r="E197" s="9">
        <v>33</v>
      </c>
      <c r="F197" s="9">
        <v>820</v>
      </c>
      <c r="G197" s="9">
        <f>DATOS!$E197*DATOS!$F197</f>
        <v>27060</v>
      </c>
    </row>
    <row r="198" spans="1:7" x14ac:dyDescent="0.3">
      <c r="A198" s="10">
        <v>41822</v>
      </c>
      <c r="B198" s="9" t="s">
        <v>8</v>
      </c>
      <c r="C198" s="9" t="s">
        <v>27</v>
      </c>
      <c r="D198" s="9" t="s">
        <v>32</v>
      </c>
      <c r="E198" s="9">
        <v>15</v>
      </c>
      <c r="F198" s="9">
        <v>820</v>
      </c>
      <c r="G198" s="9">
        <f>DATOS!$E198*DATOS!$F198</f>
        <v>12300</v>
      </c>
    </row>
    <row r="199" spans="1:7" x14ac:dyDescent="0.3">
      <c r="A199" s="10">
        <v>41758</v>
      </c>
      <c r="B199" s="9" t="s">
        <v>8</v>
      </c>
      <c r="C199" s="9" t="s">
        <v>24</v>
      </c>
      <c r="D199" s="9" t="s">
        <v>33</v>
      </c>
      <c r="E199" s="9">
        <v>36</v>
      </c>
      <c r="F199" s="9">
        <v>650</v>
      </c>
      <c r="G199" s="9">
        <f>DATOS!$E199*DATOS!$F199</f>
        <v>23400</v>
      </c>
    </row>
    <row r="200" spans="1:7" x14ac:dyDescent="0.3">
      <c r="A200" s="10">
        <v>41276</v>
      </c>
      <c r="B200" s="9" t="s">
        <v>8</v>
      </c>
      <c r="C200" s="9" t="s">
        <v>24</v>
      </c>
      <c r="D200" s="9" t="s">
        <v>33</v>
      </c>
      <c r="E200" s="9">
        <v>22</v>
      </c>
      <c r="F200" s="9">
        <v>650</v>
      </c>
      <c r="G200" s="9">
        <f>DATOS!$E200*DATOS!$F200</f>
        <v>14300</v>
      </c>
    </row>
    <row r="201" spans="1:7" x14ac:dyDescent="0.3">
      <c r="A201" s="10">
        <v>40637</v>
      </c>
      <c r="B201" s="9" t="s">
        <v>8</v>
      </c>
      <c r="C201" s="9" t="s">
        <v>24</v>
      </c>
      <c r="D201" s="9" t="s">
        <v>37</v>
      </c>
      <c r="E201" s="9">
        <v>12</v>
      </c>
      <c r="F201" s="9">
        <v>1200</v>
      </c>
      <c r="G201" s="9">
        <f>DATOS!$E201*DATOS!$F201</f>
        <v>14400</v>
      </c>
    </row>
    <row r="202" spans="1:7" x14ac:dyDescent="0.3">
      <c r="A202" s="10">
        <v>40468</v>
      </c>
      <c r="B202" s="9" t="s">
        <v>8</v>
      </c>
      <c r="C202" s="9" t="s">
        <v>28</v>
      </c>
      <c r="D202" s="9" t="s">
        <v>30</v>
      </c>
      <c r="E202" s="9">
        <v>29</v>
      </c>
      <c r="F202" s="9">
        <v>450</v>
      </c>
      <c r="G202" s="9">
        <f>DATOS!$E202*DATOS!$F202</f>
        <v>13050</v>
      </c>
    </row>
    <row r="203" spans="1:7" x14ac:dyDescent="0.3">
      <c r="A203" s="10">
        <v>41249</v>
      </c>
      <c r="B203" s="9" t="s">
        <v>8</v>
      </c>
      <c r="C203" s="9" t="s">
        <v>26</v>
      </c>
      <c r="D203" s="9" t="s">
        <v>37</v>
      </c>
      <c r="E203" s="9">
        <v>23</v>
      </c>
      <c r="F203" s="9">
        <v>1200</v>
      </c>
      <c r="G203" s="9">
        <f>DATOS!$E203*DATOS!$F203</f>
        <v>27600</v>
      </c>
    </row>
    <row r="204" spans="1:7" x14ac:dyDescent="0.3">
      <c r="A204" s="10">
        <v>40258</v>
      </c>
      <c r="B204" s="9" t="s">
        <v>8</v>
      </c>
      <c r="C204" s="9" t="s">
        <v>27</v>
      </c>
      <c r="D204" s="9" t="s">
        <v>37</v>
      </c>
      <c r="E204" s="9">
        <v>17</v>
      </c>
      <c r="F204" s="9">
        <v>1200</v>
      </c>
      <c r="G204" s="9">
        <f>DATOS!$E204*DATOS!$F204</f>
        <v>20400</v>
      </c>
    </row>
    <row r="205" spans="1:7" x14ac:dyDescent="0.3">
      <c r="A205" s="10">
        <v>40373</v>
      </c>
      <c r="B205" s="9" t="s">
        <v>8</v>
      </c>
      <c r="C205" s="9" t="s">
        <v>29</v>
      </c>
      <c r="D205" s="9" t="s">
        <v>31</v>
      </c>
      <c r="E205" s="9">
        <v>45</v>
      </c>
      <c r="F205" s="9">
        <v>800</v>
      </c>
      <c r="G205" s="9">
        <f>DATOS!$E205*DATOS!$F205</f>
        <v>36000</v>
      </c>
    </row>
    <row r="206" spans="1:7" x14ac:dyDescent="0.3">
      <c r="A206" s="10">
        <v>40726</v>
      </c>
      <c r="B206" s="9" t="s">
        <v>8</v>
      </c>
      <c r="C206" s="9" t="s">
        <v>29</v>
      </c>
      <c r="D206" s="9" t="s">
        <v>33</v>
      </c>
      <c r="E206" s="9">
        <v>274</v>
      </c>
      <c r="F206" s="9">
        <v>650</v>
      </c>
      <c r="G206" s="9">
        <f>DATOS!$E206*DATOS!$F206</f>
        <v>178100</v>
      </c>
    </row>
    <row r="207" spans="1:7" x14ac:dyDescent="0.3">
      <c r="A207" s="10">
        <v>41164</v>
      </c>
      <c r="B207" s="9" t="s">
        <v>8</v>
      </c>
      <c r="C207" s="9" t="s">
        <v>27</v>
      </c>
      <c r="D207" s="9" t="s">
        <v>32</v>
      </c>
      <c r="E207" s="9">
        <v>60</v>
      </c>
      <c r="F207" s="9">
        <v>820</v>
      </c>
      <c r="G207" s="9">
        <f>DATOS!$E207*DATOS!$F207</f>
        <v>49200</v>
      </c>
    </row>
    <row r="208" spans="1:7" x14ac:dyDescent="0.3">
      <c r="A208" s="10">
        <v>40879</v>
      </c>
      <c r="B208" s="9" t="s">
        <v>8</v>
      </c>
      <c r="C208" s="9" t="s">
        <v>29</v>
      </c>
      <c r="D208" s="9" t="s">
        <v>33</v>
      </c>
      <c r="E208" s="9">
        <v>39</v>
      </c>
      <c r="F208" s="9">
        <v>650</v>
      </c>
      <c r="G208" s="9">
        <f>DATOS!$E208*DATOS!$F208</f>
        <v>25350</v>
      </c>
    </row>
    <row r="209" spans="1:7" x14ac:dyDescent="0.3">
      <c r="A209" s="10">
        <v>41591</v>
      </c>
      <c r="B209" s="9" t="s">
        <v>8</v>
      </c>
      <c r="C209" s="9" t="s">
        <v>29</v>
      </c>
      <c r="D209" s="9" t="s">
        <v>32</v>
      </c>
      <c r="E209" s="9">
        <v>58</v>
      </c>
      <c r="F209" s="9">
        <v>820</v>
      </c>
      <c r="G209" s="9">
        <f>DATOS!$E209*DATOS!$F209</f>
        <v>47560</v>
      </c>
    </row>
    <row r="210" spans="1:7" x14ac:dyDescent="0.3">
      <c r="A210" s="10">
        <v>41338</v>
      </c>
      <c r="B210" s="9" t="s">
        <v>8</v>
      </c>
      <c r="C210" s="9" t="s">
        <v>26</v>
      </c>
      <c r="D210" s="9" t="s">
        <v>31</v>
      </c>
      <c r="E210" s="9">
        <v>60</v>
      </c>
      <c r="F210" s="9">
        <v>800</v>
      </c>
      <c r="G210" s="9">
        <f>DATOS!$E210*DATOS!$F210</f>
        <v>48000</v>
      </c>
    </row>
    <row r="211" spans="1:7" x14ac:dyDescent="0.3">
      <c r="A211" s="10">
        <v>41377</v>
      </c>
      <c r="B211" s="9" t="s">
        <v>8</v>
      </c>
      <c r="C211" s="9" t="s">
        <v>24</v>
      </c>
      <c r="D211" s="9" t="s">
        <v>37</v>
      </c>
      <c r="E211" s="9">
        <v>92</v>
      </c>
      <c r="F211" s="9">
        <v>1200</v>
      </c>
      <c r="G211" s="9">
        <f>DATOS!$E211*DATOS!$F211</f>
        <v>110400</v>
      </c>
    </row>
    <row r="212" spans="1:7" x14ac:dyDescent="0.3">
      <c r="A212" s="10">
        <v>40551</v>
      </c>
      <c r="B212" s="9" t="s">
        <v>8</v>
      </c>
      <c r="C212" s="9" t="s">
        <v>26</v>
      </c>
      <c r="D212" s="9" t="s">
        <v>37</v>
      </c>
      <c r="E212" s="9">
        <v>153</v>
      </c>
      <c r="F212" s="9">
        <v>1200</v>
      </c>
      <c r="G212" s="9">
        <f>DATOS!$E212*DATOS!$F212</f>
        <v>183600</v>
      </c>
    </row>
    <row r="213" spans="1:7" x14ac:dyDescent="0.3">
      <c r="A213" s="10">
        <v>40356</v>
      </c>
      <c r="B213" s="9" t="s">
        <v>8</v>
      </c>
      <c r="C213" s="9" t="s">
        <v>24</v>
      </c>
      <c r="D213" s="9" t="s">
        <v>37</v>
      </c>
      <c r="E213" s="9">
        <v>86</v>
      </c>
      <c r="F213" s="9">
        <v>1200</v>
      </c>
      <c r="G213" s="9">
        <f>DATOS!$E213*DATOS!$F213</f>
        <v>103200</v>
      </c>
    </row>
    <row r="214" spans="1:7" x14ac:dyDescent="0.3">
      <c r="A214" s="10">
        <v>41769</v>
      </c>
      <c r="B214" s="9" t="s">
        <v>8</v>
      </c>
      <c r="C214" s="9" t="s">
        <v>25</v>
      </c>
      <c r="D214" s="9" t="s">
        <v>32</v>
      </c>
      <c r="E214" s="9">
        <v>181</v>
      </c>
      <c r="F214" s="9">
        <v>820</v>
      </c>
      <c r="G214" s="9">
        <f>DATOS!$E214*DATOS!$F214</f>
        <v>148420</v>
      </c>
    </row>
    <row r="215" spans="1:7" x14ac:dyDescent="0.3">
      <c r="A215" s="10">
        <v>41613</v>
      </c>
      <c r="B215" s="9" t="s">
        <v>8</v>
      </c>
      <c r="C215" s="9" t="s">
        <v>29</v>
      </c>
      <c r="D215" s="9" t="s">
        <v>37</v>
      </c>
      <c r="E215" s="9">
        <v>18</v>
      </c>
      <c r="F215" s="9">
        <v>1200</v>
      </c>
      <c r="G215" s="9">
        <f>DATOS!$E215*DATOS!$F215</f>
        <v>21600</v>
      </c>
    </row>
    <row r="216" spans="1:7" x14ac:dyDescent="0.3">
      <c r="A216" s="10">
        <v>40388</v>
      </c>
      <c r="B216" s="9" t="s">
        <v>8</v>
      </c>
      <c r="C216" s="9" t="s">
        <v>29</v>
      </c>
      <c r="D216" s="9" t="s">
        <v>33</v>
      </c>
      <c r="E216" s="9">
        <v>57</v>
      </c>
      <c r="F216" s="9">
        <v>650</v>
      </c>
      <c r="G216" s="9">
        <f>DATOS!$E216*DATOS!$F216</f>
        <v>37050</v>
      </c>
    </row>
    <row r="217" spans="1:7" x14ac:dyDescent="0.3">
      <c r="A217" s="10">
        <v>41760</v>
      </c>
      <c r="B217" s="9" t="s">
        <v>8</v>
      </c>
      <c r="C217" s="9" t="s">
        <v>27</v>
      </c>
      <c r="D217" s="9" t="s">
        <v>32</v>
      </c>
      <c r="E217" s="9">
        <v>31</v>
      </c>
      <c r="F217" s="9">
        <v>820</v>
      </c>
      <c r="G217" s="9">
        <f>DATOS!$E217*DATOS!$F217</f>
        <v>25420</v>
      </c>
    </row>
    <row r="218" spans="1:7" x14ac:dyDescent="0.3">
      <c r="A218" s="10">
        <v>40352</v>
      </c>
      <c r="B218" s="9" t="s">
        <v>8</v>
      </c>
      <c r="C218" s="9" t="s">
        <v>28</v>
      </c>
      <c r="D218" s="9" t="s">
        <v>37</v>
      </c>
      <c r="E218" s="9">
        <v>18</v>
      </c>
      <c r="F218" s="9">
        <v>1200</v>
      </c>
      <c r="G218" s="9">
        <f>DATOS!$E218*DATOS!$F218</f>
        <v>21600</v>
      </c>
    </row>
    <row r="219" spans="1:7" x14ac:dyDescent="0.3">
      <c r="A219" s="10">
        <v>41038</v>
      </c>
      <c r="B219" s="9" t="s">
        <v>8</v>
      </c>
      <c r="C219" s="9" t="s">
        <v>25</v>
      </c>
      <c r="D219" s="9" t="s">
        <v>30</v>
      </c>
      <c r="E219" s="9">
        <v>4</v>
      </c>
      <c r="F219" s="9">
        <v>450</v>
      </c>
      <c r="G219" s="9">
        <f>DATOS!$E219*DATOS!$F219</f>
        <v>1800</v>
      </c>
    </row>
    <row r="220" spans="1:7" x14ac:dyDescent="0.3">
      <c r="A220" s="10">
        <v>41374</v>
      </c>
      <c r="B220" s="9" t="s">
        <v>8</v>
      </c>
      <c r="C220" s="9" t="s">
        <v>27</v>
      </c>
      <c r="D220" s="9" t="s">
        <v>31</v>
      </c>
      <c r="E220" s="9">
        <v>6</v>
      </c>
      <c r="F220" s="9">
        <v>800</v>
      </c>
      <c r="G220" s="9">
        <f>DATOS!$E220*DATOS!$F220</f>
        <v>4800</v>
      </c>
    </row>
    <row r="221" spans="1:7" x14ac:dyDescent="0.3">
      <c r="A221" s="10">
        <v>40996</v>
      </c>
      <c r="B221" s="9" t="s">
        <v>8</v>
      </c>
      <c r="C221" s="9" t="s">
        <v>27</v>
      </c>
      <c r="D221" s="9" t="s">
        <v>37</v>
      </c>
      <c r="E221" s="9">
        <v>28</v>
      </c>
      <c r="F221" s="9">
        <v>1200</v>
      </c>
      <c r="G221" s="9">
        <f>DATOS!$E221*DATOS!$F221</f>
        <v>33600</v>
      </c>
    </row>
    <row r="222" spans="1:7" x14ac:dyDescent="0.3">
      <c r="A222" s="10">
        <v>40374</v>
      </c>
      <c r="B222" s="9" t="s">
        <v>8</v>
      </c>
      <c r="C222" s="9" t="s">
        <v>26</v>
      </c>
      <c r="D222" s="9" t="s">
        <v>31</v>
      </c>
      <c r="E222" s="9">
        <v>1</v>
      </c>
      <c r="F222" s="9">
        <v>800</v>
      </c>
      <c r="G222" s="9">
        <f>DATOS!$E222*DATOS!$F222</f>
        <v>800</v>
      </c>
    </row>
    <row r="223" spans="1:7" x14ac:dyDescent="0.3">
      <c r="A223" s="10">
        <v>40821</v>
      </c>
      <c r="B223" s="9" t="s">
        <v>8</v>
      </c>
      <c r="C223" s="9" t="s">
        <v>24</v>
      </c>
      <c r="D223" s="9" t="s">
        <v>30</v>
      </c>
      <c r="E223" s="9">
        <v>37</v>
      </c>
      <c r="F223" s="9">
        <v>450</v>
      </c>
      <c r="G223" s="9">
        <f>DATOS!$E223*DATOS!$F223</f>
        <v>16650</v>
      </c>
    </row>
    <row r="224" spans="1:7" x14ac:dyDescent="0.3">
      <c r="A224" s="10">
        <v>41311</v>
      </c>
      <c r="B224" s="9" t="s">
        <v>8</v>
      </c>
      <c r="C224" s="9" t="s">
        <v>26</v>
      </c>
      <c r="D224" s="9" t="s">
        <v>30</v>
      </c>
      <c r="E224" s="9">
        <v>25</v>
      </c>
      <c r="F224" s="9">
        <v>450</v>
      </c>
      <c r="G224" s="9">
        <f>DATOS!$E224*DATOS!$F224</f>
        <v>11250</v>
      </c>
    </row>
    <row r="225" spans="1:7" x14ac:dyDescent="0.3">
      <c r="A225" s="10">
        <v>41332</v>
      </c>
      <c r="B225" s="9" t="s">
        <v>8</v>
      </c>
      <c r="C225" s="9" t="s">
        <v>28</v>
      </c>
      <c r="D225" s="9" t="s">
        <v>30</v>
      </c>
      <c r="E225" s="9">
        <v>8</v>
      </c>
      <c r="F225" s="9">
        <v>450</v>
      </c>
      <c r="G225" s="9">
        <f>DATOS!$E225*DATOS!$F225</f>
        <v>3600</v>
      </c>
    </row>
    <row r="226" spans="1:7" x14ac:dyDescent="0.3">
      <c r="A226" s="10">
        <v>41224</v>
      </c>
      <c r="B226" s="9" t="s">
        <v>8</v>
      </c>
      <c r="C226" s="9" t="s">
        <v>24</v>
      </c>
      <c r="D226" s="9" t="s">
        <v>31</v>
      </c>
      <c r="E226" s="9">
        <v>55</v>
      </c>
      <c r="F226" s="9">
        <v>800</v>
      </c>
      <c r="G226" s="9">
        <f>DATOS!$E226*DATOS!$F226</f>
        <v>44000</v>
      </c>
    </row>
    <row r="227" spans="1:7" x14ac:dyDescent="0.3">
      <c r="A227" s="10">
        <v>40329</v>
      </c>
      <c r="B227" s="9" t="s">
        <v>8</v>
      </c>
      <c r="C227" s="9" t="s">
        <v>24</v>
      </c>
      <c r="D227" s="9" t="s">
        <v>37</v>
      </c>
      <c r="E227" s="9">
        <v>55</v>
      </c>
      <c r="F227" s="9">
        <v>1200</v>
      </c>
      <c r="G227" s="9">
        <f>DATOS!$E227*DATOS!$F227</f>
        <v>66000</v>
      </c>
    </row>
    <row r="228" spans="1:7" x14ac:dyDescent="0.3">
      <c r="A228" s="10">
        <v>41269</v>
      </c>
      <c r="B228" s="9" t="s">
        <v>8</v>
      </c>
      <c r="C228" s="9" t="s">
        <v>27</v>
      </c>
      <c r="D228" s="9" t="s">
        <v>33</v>
      </c>
      <c r="E228" s="9">
        <v>3</v>
      </c>
      <c r="F228" s="9">
        <v>650</v>
      </c>
      <c r="G228" s="9">
        <f>DATOS!$E228*DATOS!$F228</f>
        <v>1950</v>
      </c>
    </row>
    <row r="229" spans="1:7" x14ac:dyDescent="0.3">
      <c r="A229" s="10">
        <v>41159</v>
      </c>
      <c r="B229" s="9" t="s">
        <v>8</v>
      </c>
      <c r="C229" s="9" t="s">
        <v>24</v>
      </c>
      <c r="D229" s="9" t="s">
        <v>32</v>
      </c>
      <c r="E229" s="9">
        <v>22</v>
      </c>
      <c r="F229" s="9">
        <v>820</v>
      </c>
      <c r="G229" s="9">
        <f>DATOS!$E229*DATOS!$F229</f>
        <v>18040</v>
      </c>
    </row>
    <row r="230" spans="1:7" x14ac:dyDescent="0.3">
      <c r="A230" s="10">
        <v>40799</v>
      </c>
      <c r="B230" s="9" t="s">
        <v>8</v>
      </c>
      <c r="C230" s="9" t="s">
        <v>25</v>
      </c>
      <c r="D230" s="9" t="s">
        <v>31</v>
      </c>
      <c r="E230" s="9">
        <v>49</v>
      </c>
      <c r="F230" s="9">
        <v>800</v>
      </c>
      <c r="G230" s="9">
        <f>DATOS!$E230*DATOS!$F230</f>
        <v>39200</v>
      </c>
    </row>
    <row r="231" spans="1:7" x14ac:dyDescent="0.3">
      <c r="A231" s="10">
        <v>41864</v>
      </c>
      <c r="B231" s="9" t="s">
        <v>8</v>
      </c>
      <c r="C231" s="9" t="s">
        <v>27</v>
      </c>
      <c r="D231" s="9" t="s">
        <v>32</v>
      </c>
      <c r="E231" s="9">
        <v>71</v>
      </c>
      <c r="F231" s="9">
        <v>820</v>
      </c>
      <c r="G231" s="9">
        <f>DATOS!$E231*DATOS!$F231</f>
        <v>58220</v>
      </c>
    </row>
    <row r="232" spans="1:7" x14ac:dyDescent="0.3">
      <c r="A232" s="10">
        <v>40717</v>
      </c>
      <c r="B232" s="9" t="s">
        <v>8</v>
      </c>
      <c r="C232" s="9" t="s">
        <v>25</v>
      </c>
      <c r="D232" s="9" t="s">
        <v>31</v>
      </c>
      <c r="E232" s="9">
        <v>49</v>
      </c>
      <c r="F232" s="9">
        <v>800</v>
      </c>
      <c r="G232" s="9">
        <f>DATOS!$E232*DATOS!$F232</f>
        <v>39200</v>
      </c>
    </row>
    <row r="233" spans="1:7" x14ac:dyDescent="0.3">
      <c r="A233" s="10">
        <v>41059</v>
      </c>
      <c r="B233" s="9" t="s">
        <v>8</v>
      </c>
      <c r="C233" s="9" t="s">
        <v>28</v>
      </c>
      <c r="D233" s="9" t="s">
        <v>32</v>
      </c>
      <c r="E233" s="9">
        <v>3</v>
      </c>
      <c r="F233" s="9">
        <v>820</v>
      </c>
      <c r="G233" s="9">
        <f>DATOS!$E233*DATOS!$F233</f>
        <v>2460</v>
      </c>
    </row>
    <row r="234" spans="1:7" x14ac:dyDescent="0.3">
      <c r="A234" s="10">
        <v>40652</v>
      </c>
      <c r="B234" s="9" t="s">
        <v>8</v>
      </c>
      <c r="C234" s="9" t="s">
        <v>29</v>
      </c>
      <c r="D234" s="9" t="s">
        <v>31</v>
      </c>
      <c r="E234" s="9">
        <v>16</v>
      </c>
      <c r="F234" s="9">
        <v>800</v>
      </c>
      <c r="G234" s="9">
        <f>DATOS!$E234*DATOS!$F234</f>
        <v>12800</v>
      </c>
    </row>
    <row r="235" spans="1:7" x14ac:dyDescent="0.3">
      <c r="A235" s="10">
        <v>40972</v>
      </c>
      <c r="B235" s="9" t="s">
        <v>8</v>
      </c>
      <c r="C235" s="9" t="s">
        <v>26</v>
      </c>
      <c r="D235" s="9" t="s">
        <v>30</v>
      </c>
      <c r="E235" s="9">
        <v>67</v>
      </c>
      <c r="F235" s="9">
        <v>450</v>
      </c>
      <c r="G235" s="9">
        <f>DATOS!$E235*DATOS!$F235</f>
        <v>30150</v>
      </c>
    </row>
    <row r="236" spans="1:7" x14ac:dyDescent="0.3">
      <c r="A236" s="10">
        <v>41456</v>
      </c>
      <c r="B236" s="9" t="s">
        <v>8</v>
      </c>
      <c r="C236" s="9" t="s">
        <v>24</v>
      </c>
      <c r="D236" s="9" t="s">
        <v>37</v>
      </c>
      <c r="E236" s="9">
        <v>19</v>
      </c>
      <c r="F236" s="9">
        <v>1200</v>
      </c>
      <c r="G236" s="9">
        <f>DATOS!$E236*DATOS!$F236</f>
        <v>22800</v>
      </c>
    </row>
    <row r="237" spans="1:7" x14ac:dyDescent="0.3">
      <c r="A237" s="10">
        <v>40779</v>
      </c>
      <c r="B237" s="9" t="s">
        <v>8</v>
      </c>
      <c r="C237" s="9" t="s">
        <v>28</v>
      </c>
      <c r="D237" s="9" t="s">
        <v>31</v>
      </c>
      <c r="E237" s="9">
        <v>1</v>
      </c>
      <c r="F237" s="9">
        <v>800</v>
      </c>
      <c r="G237" s="9">
        <f>DATOS!$E237*DATOS!$F237</f>
        <v>800</v>
      </c>
    </row>
    <row r="238" spans="1:7" x14ac:dyDescent="0.3">
      <c r="A238" s="10">
        <v>41170</v>
      </c>
      <c r="B238" s="9" t="s">
        <v>8</v>
      </c>
      <c r="C238" s="9" t="s">
        <v>25</v>
      </c>
      <c r="D238" s="9" t="s">
        <v>32</v>
      </c>
      <c r="E238" s="9">
        <v>3</v>
      </c>
      <c r="F238" s="9">
        <v>950</v>
      </c>
      <c r="G238" s="9">
        <f>DATOS!$E238*DATOS!$F238</f>
        <v>2850</v>
      </c>
    </row>
    <row r="239" spans="1:7" x14ac:dyDescent="0.3">
      <c r="A239" s="10">
        <v>41093</v>
      </c>
      <c r="B239" s="9" t="s">
        <v>8</v>
      </c>
      <c r="C239" s="9" t="s">
        <v>27</v>
      </c>
      <c r="D239" s="9" t="s">
        <v>32</v>
      </c>
      <c r="E239" s="9">
        <v>33</v>
      </c>
      <c r="F239" s="9">
        <v>820</v>
      </c>
      <c r="G239" s="9">
        <f>DATOS!$E239*DATOS!$F239</f>
        <v>27060</v>
      </c>
    </row>
    <row r="240" spans="1:7" x14ac:dyDescent="0.3">
      <c r="A240" s="10">
        <v>40816</v>
      </c>
      <c r="B240" s="9" t="s">
        <v>8</v>
      </c>
      <c r="C240" s="9" t="s">
        <v>29</v>
      </c>
      <c r="D240" s="9" t="s">
        <v>37</v>
      </c>
      <c r="E240" s="9">
        <v>280</v>
      </c>
      <c r="F240" s="9">
        <v>1200</v>
      </c>
      <c r="G240" s="9">
        <f>DATOS!$E240*DATOS!$F240</f>
        <v>336000</v>
      </c>
    </row>
    <row r="241" spans="1:7" x14ac:dyDescent="0.3">
      <c r="A241" s="10">
        <v>40762</v>
      </c>
      <c r="B241" s="9" t="s">
        <v>8</v>
      </c>
      <c r="C241" s="9" t="s">
        <v>24</v>
      </c>
      <c r="D241" s="9" t="s">
        <v>31</v>
      </c>
      <c r="E241" s="9">
        <v>24</v>
      </c>
      <c r="F241" s="9">
        <v>800</v>
      </c>
      <c r="G241" s="9">
        <f>DATOS!$E241*DATOS!$F241</f>
        <v>19200</v>
      </c>
    </row>
    <row r="242" spans="1:7" x14ac:dyDescent="0.3">
      <c r="A242" s="10">
        <v>41224</v>
      </c>
      <c r="B242" s="9" t="s">
        <v>8</v>
      </c>
      <c r="C242" s="9" t="s">
        <v>28</v>
      </c>
      <c r="D242" s="9" t="s">
        <v>37</v>
      </c>
      <c r="E242" s="9">
        <v>6</v>
      </c>
      <c r="F242" s="9">
        <v>1200</v>
      </c>
      <c r="G242" s="9">
        <f>DATOS!$E242*DATOS!$F242</f>
        <v>7200</v>
      </c>
    </row>
    <row r="243" spans="1:7" x14ac:dyDescent="0.3">
      <c r="A243" s="10">
        <v>40297</v>
      </c>
      <c r="B243" s="9" t="s">
        <v>8</v>
      </c>
      <c r="C243" s="9" t="s">
        <v>28</v>
      </c>
      <c r="D243" s="9" t="s">
        <v>33</v>
      </c>
      <c r="E243" s="9">
        <v>7</v>
      </c>
      <c r="F243" s="9">
        <v>650</v>
      </c>
      <c r="G243" s="9">
        <f>DATOS!$E243*DATOS!$F243</f>
        <v>4550</v>
      </c>
    </row>
    <row r="244" spans="1:7" x14ac:dyDescent="0.3">
      <c r="A244" s="10">
        <v>41485</v>
      </c>
      <c r="B244" s="9" t="s">
        <v>8</v>
      </c>
      <c r="C244" s="9" t="s">
        <v>27</v>
      </c>
      <c r="D244" s="9" t="s">
        <v>32</v>
      </c>
      <c r="E244" s="9">
        <v>38</v>
      </c>
      <c r="F244" s="9">
        <v>950</v>
      </c>
      <c r="G244" s="9">
        <f>DATOS!$E244*DATOS!$F244</f>
        <v>36100</v>
      </c>
    </row>
    <row r="245" spans="1:7" x14ac:dyDescent="0.3">
      <c r="A245" s="10">
        <v>41775</v>
      </c>
      <c r="B245" s="9" t="s">
        <v>8</v>
      </c>
      <c r="C245" s="9" t="s">
        <v>26</v>
      </c>
      <c r="D245" s="9" t="s">
        <v>31</v>
      </c>
      <c r="E245" s="9">
        <v>23</v>
      </c>
      <c r="F245" s="9">
        <v>800</v>
      </c>
      <c r="G245" s="9">
        <f>DATOS!$E245*DATOS!$F245</f>
        <v>18400</v>
      </c>
    </row>
    <row r="246" spans="1:7" x14ac:dyDescent="0.3">
      <c r="A246" s="10">
        <v>41246</v>
      </c>
      <c r="B246" s="9" t="s">
        <v>8</v>
      </c>
      <c r="C246" s="9" t="s">
        <v>29</v>
      </c>
      <c r="D246" s="9" t="s">
        <v>30</v>
      </c>
      <c r="E246" s="9">
        <v>26</v>
      </c>
      <c r="F246" s="9">
        <v>450</v>
      </c>
      <c r="G246" s="9">
        <f>DATOS!$E246*DATOS!$F246</f>
        <v>11700</v>
      </c>
    </row>
    <row r="247" spans="1:7" x14ac:dyDescent="0.3">
      <c r="A247" s="10">
        <v>41470</v>
      </c>
      <c r="B247" s="9" t="s">
        <v>8</v>
      </c>
      <c r="C247" s="9" t="s">
        <v>27</v>
      </c>
      <c r="D247" s="9" t="s">
        <v>32</v>
      </c>
      <c r="E247" s="9">
        <v>11</v>
      </c>
      <c r="F247" s="9">
        <v>820</v>
      </c>
      <c r="G247" s="9">
        <f>DATOS!$E247*DATOS!$F247</f>
        <v>9020</v>
      </c>
    </row>
    <row r="248" spans="1:7" x14ac:dyDescent="0.3">
      <c r="A248" s="10">
        <v>40661</v>
      </c>
      <c r="B248" s="9" t="s">
        <v>8</v>
      </c>
      <c r="C248" s="9" t="s">
        <v>25</v>
      </c>
      <c r="D248" s="9" t="s">
        <v>37</v>
      </c>
      <c r="E248" s="9">
        <v>23</v>
      </c>
      <c r="F248" s="9">
        <v>1200</v>
      </c>
      <c r="G248" s="9">
        <f>DATOS!$E248*DATOS!$F248</f>
        <v>27600</v>
      </c>
    </row>
    <row r="249" spans="1:7" x14ac:dyDescent="0.3">
      <c r="A249" s="10">
        <v>41784</v>
      </c>
      <c r="B249" s="9" t="s">
        <v>8</v>
      </c>
      <c r="C249" s="9" t="s">
        <v>26</v>
      </c>
      <c r="D249" s="9" t="s">
        <v>32</v>
      </c>
      <c r="E249" s="9">
        <v>59</v>
      </c>
      <c r="F249" s="9">
        <v>820</v>
      </c>
      <c r="G249" s="9">
        <f>DATOS!$E249*DATOS!$F249</f>
        <v>48380</v>
      </c>
    </row>
    <row r="250" spans="1:7" x14ac:dyDescent="0.3">
      <c r="A250" s="10">
        <v>40706</v>
      </c>
      <c r="B250" s="9" t="s">
        <v>9</v>
      </c>
      <c r="C250" s="9" t="s">
        <v>29</v>
      </c>
      <c r="D250" s="9" t="s">
        <v>32</v>
      </c>
      <c r="E250" s="9">
        <v>138</v>
      </c>
      <c r="F250" s="9">
        <v>950</v>
      </c>
      <c r="G250" s="9">
        <f>DATOS!$E250*DATOS!$F250</f>
        <v>131100</v>
      </c>
    </row>
    <row r="251" spans="1:7" x14ac:dyDescent="0.3">
      <c r="A251" s="10">
        <v>41448</v>
      </c>
      <c r="B251" s="9" t="s">
        <v>9</v>
      </c>
      <c r="C251" s="9" t="s">
        <v>24</v>
      </c>
      <c r="D251" s="9" t="s">
        <v>32</v>
      </c>
      <c r="E251" s="9">
        <v>69</v>
      </c>
      <c r="F251" s="9">
        <v>950</v>
      </c>
      <c r="G251" s="9">
        <f>DATOS!$E251*DATOS!$F251</f>
        <v>65550</v>
      </c>
    </row>
    <row r="252" spans="1:7" x14ac:dyDescent="0.3">
      <c r="A252" s="10">
        <v>40732</v>
      </c>
      <c r="B252" s="9" t="s">
        <v>9</v>
      </c>
      <c r="C252" s="9" t="s">
        <v>29</v>
      </c>
      <c r="D252" s="9" t="s">
        <v>31</v>
      </c>
      <c r="E252" s="9">
        <v>214</v>
      </c>
      <c r="F252" s="9">
        <v>800</v>
      </c>
      <c r="G252" s="9">
        <f>DATOS!$E252*DATOS!$F252</f>
        <v>171200</v>
      </c>
    </row>
    <row r="253" spans="1:7" x14ac:dyDescent="0.3">
      <c r="A253" s="10">
        <v>41071</v>
      </c>
      <c r="B253" s="9" t="s">
        <v>9</v>
      </c>
      <c r="C253" s="9" t="s">
        <v>25</v>
      </c>
      <c r="D253" s="9" t="s">
        <v>32</v>
      </c>
      <c r="E253" s="9">
        <v>223</v>
      </c>
      <c r="F253" s="9">
        <v>820</v>
      </c>
      <c r="G253" s="9">
        <f>DATOS!$E253*DATOS!$F253</f>
        <v>182860</v>
      </c>
    </row>
    <row r="254" spans="1:7" x14ac:dyDescent="0.3">
      <c r="A254" s="10">
        <v>41306</v>
      </c>
      <c r="B254" s="9" t="s">
        <v>5</v>
      </c>
      <c r="C254" s="9" t="s">
        <v>24</v>
      </c>
      <c r="D254" s="9" t="s">
        <v>33</v>
      </c>
      <c r="E254" s="9">
        <v>54.890596344779603</v>
      </c>
      <c r="F254" s="9">
        <v>832.14538670714001</v>
      </c>
      <c r="G254" s="9">
        <f>DATOS!$E254*DATOS!$F254</f>
        <v>45676.95652191215</v>
      </c>
    </row>
    <row r="255" spans="1:7" x14ac:dyDescent="0.3">
      <c r="A255" s="10">
        <v>40498</v>
      </c>
      <c r="B255" s="9" t="s">
        <v>5</v>
      </c>
      <c r="C255" s="9" t="s">
        <v>27</v>
      </c>
      <c r="D255" s="9" t="s">
        <v>37</v>
      </c>
      <c r="E255" s="9">
        <v>54.931735383580197</v>
      </c>
      <c r="F255" s="9">
        <v>831.99891068763395</v>
      </c>
      <c r="G255" s="9">
        <f>DATOS!$E255*DATOS!$F255</f>
        <v>45703.144001320084</v>
      </c>
    </row>
    <row r="256" spans="1:7" x14ac:dyDescent="0.3">
      <c r="A256" s="10">
        <v>41612</v>
      </c>
      <c r="B256" s="9" t="s">
        <v>5</v>
      </c>
      <c r="C256" s="9" t="s">
        <v>28</v>
      </c>
      <c r="D256" s="9" t="s">
        <v>37</v>
      </c>
      <c r="E256" s="9">
        <v>54.972874422380698</v>
      </c>
      <c r="F256" s="9">
        <v>831.85243466812801</v>
      </c>
      <c r="G256" s="9">
        <f>DATOS!$E256*DATOS!$F256</f>
        <v>45729.319428962648</v>
      </c>
    </row>
    <row r="257" spans="1:7" x14ac:dyDescent="0.3">
      <c r="A257" s="10">
        <v>40940</v>
      </c>
      <c r="B257" s="9" t="s">
        <v>5</v>
      </c>
      <c r="C257" s="9" t="s">
        <v>26</v>
      </c>
      <c r="D257" s="9" t="s">
        <v>31</v>
      </c>
      <c r="E257" s="9">
        <v>55.0140134611813</v>
      </c>
      <c r="F257" s="9">
        <v>831.70595864862298</v>
      </c>
      <c r="G257" s="9">
        <f>DATOS!$E257*DATOS!$F257</f>
        <v>45755.482804840045</v>
      </c>
    </row>
    <row r="258" spans="1:7" x14ac:dyDescent="0.3">
      <c r="A258" s="10">
        <v>41543</v>
      </c>
      <c r="B258" s="9" t="s">
        <v>5</v>
      </c>
      <c r="C258" s="9" t="s">
        <v>24</v>
      </c>
      <c r="D258" s="9" t="s">
        <v>31</v>
      </c>
      <c r="E258" s="9">
        <v>55.055152499981901</v>
      </c>
      <c r="F258" s="9">
        <v>831.55948262911704</v>
      </c>
      <c r="G258" s="9">
        <f>DATOS!$E258*DATOS!$F258</f>
        <v>45781.634128952086</v>
      </c>
    </row>
    <row r="259" spans="1:7" x14ac:dyDescent="0.3">
      <c r="A259" s="10">
        <v>40645</v>
      </c>
      <c r="B259" s="9" t="s">
        <v>5</v>
      </c>
      <c r="C259" s="9" t="s">
        <v>28</v>
      </c>
      <c r="D259" s="9" t="s">
        <v>31</v>
      </c>
      <c r="E259" s="9">
        <v>55.096291538782403</v>
      </c>
      <c r="F259" s="9">
        <v>831.41300660961201</v>
      </c>
      <c r="G259" s="9">
        <f>DATOS!$E259*DATOS!$F259</f>
        <v>45807.773401298808</v>
      </c>
    </row>
    <row r="260" spans="1:7" x14ac:dyDescent="0.3">
      <c r="A260" s="10">
        <v>40931</v>
      </c>
      <c r="B260" s="9" t="s">
        <v>5</v>
      </c>
      <c r="C260" s="9" t="s">
        <v>28</v>
      </c>
      <c r="D260" s="9" t="s">
        <v>32</v>
      </c>
      <c r="E260" s="9">
        <v>55.137430577582997</v>
      </c>
      <c r="F260" s="9">
        <v>831.26653059010596</v>
      </c>
      <c r="G260" s="9">
        <f>DATOS!$E260*DATOS!$F260</f>
        <v>45833.900621880239</v>
      </c>
    </row>
    <row r="261" spans="1:7" x14ac:dyDescent="0.3">
      <c r="A261" s="10">
        <v>40444</v>
      </c>
      <c r="B261" s="9" t="s">
        <v>5</v>
      </c>
      <c r="C261" s="9" t="s">
        <v>28</v>
      </c>
      <c r="D261" s="9" t="s">
        <v>30</v>
      </c>
      <c r="E261" s="9">
        <v>55.178569616383598</v>
      </c>
      <c r="F261" s="9">
        <v>831.12005457060002</v>
      </c>
      <c r="G261" s="9">
        <f>DATOS!$E261*DATOS!$F261</f>
        <v>45860.015790696387</v>
      </c>
    </row>
    <row r="262" spans="1:7" x14ac:dyDescent="0.3">
      <c r="A262" s="10">
        <v>41797</v>
      </c>
      <c r="B262" s="9" t="s">
        <v>5</v>
      </c>
      <c r="C262" s="9" t="s">
        <v>29</v>
      </c>
      <c r="D262" s="9" t="s">
        <v>33</v>
      </c>
      <c r="E262" s="9">
        <v>55.2197086551841</v>
      </c>
      <c r="F262" s="9">
        <v>830.97357855109499</v>
      </c>
      <c r="G262" s="9">
        <f>DATOS!$E262*DATOS!$F262</f>
        <v>45886.118907747201</v>
      </c>
    </row>
    <row r="263" spans="1:7" x14ac:dyDescent="0.3">
      <c r="A263" s="10">
        <v>41701</v>
      </c>
      <c r="B263" s="9" t="s">
        <v>5</v>
      </c>
      <c r="C263" s="9" t="s">
        <v>29</v>
      </c>
      <c r="D263" s="9" t="s">
        <v>31</v>
      </c>
      <c r="E263" s="9">
        <v>55.260847693984701</v>
      </c>
      <c r="F263" s="9">
        <v>830.82710253158905</v>
      </c>
      <c r="G263" s="9">
        <f>DATOS!$E263*DATOS!$F263</f>
        <v>45912.209973032754</v>
      </c>
    </row>
    <row r="264" spans="1:7" x14ac:dyDescent="0.3">
      <c r="A264" s="10">
        <v>41797</v>
      </c>
      <c r="B264" s="9" t="s">
        <v>5</v>
      </c>
      <c r="C264" s="9" t="s">
        <v>25</v>
      </c>
      <c r="D264" s="9" t="s">
        <v>31</v>
      </c>
      <c r="E264" s="9">
        <v>55.301986732785302</v>
      </c>
      <c r="F264" s="9">
        <v>830.68062651208299</v>
      </c>
      <c r="G264" s="9">
        <f>DATOS!$E264*DATOS!$F264</f>
        <v>45938.288986552994</v>
      </c>
    </row>
    <row r="265" spans="1:7" x14ac:dyDescent="0.3">
      <c r="A265" s="10">
        <v>41767</v>
      </c>
      <c r="B265" s="9" t="s">
        <v>5</v>
      </c>
      <c r="C265" s="9" t="s">
        <v>29</v>
      </c>
      <c r="D265" s="9" t="s">
        <v>37</v>
      </c>
      <c r="E265" s="9">
        <v>55.343125771585797</v>
      </c>
      <c r="F265" s="9">
        <v>830.53415049257796</v>
      </c>
      <c r="G265" s="9">
        <f>DATOS!$E265*DATOS!$F265</f>
        <v>45964.355948307908</v>
      </c>
    </row>
    <row r="266" spans="1:7" x14ac:dyDescent="0.3">
      <c r="A266" s="10">
        <v>40987</v>
      </c>
      <c r="B266" s="9" t="s">
        <v>5</v>
      </c>
      <c r="C266" s="9" t="s">
        <v>24</v>
      </c>
      <c r="D266" s="9" t="s">
        <v>32</v>
      </c>
      <c r="E266" s="9">
        <v>55.384264810386398</v>
      </c>
      <c r="F266" s="9">
        <v>830.38767447307202</v>
      </c>
      <c r="G266" s="9">
        <f>DATOS!$E266*DATOS!$F266</f>
        <v>45990.41085829756</v>
      </c>
    </row>
    <row r="267" spans="1:7" x14ac:dyDescent="0.3">
      <c r="A267" s="10">
        <v>41029</v>
      </c>
      <c r="B267" s="9" t="s">
        <v>5</v>
      </c>
      <c r="C267" s="9" t="s">
        <v>28</v>
      </c>
      <c r="D267" s="9" t="s">
        <v>32</v>
      </c>
      <c r="E267" s="9">
        <v>55.425403849186999</v>
      </c>
      <c r="F267" s="9">
        <v>830.24119845356597</v>
      </c>
      <c r="G267" s="9">
        <f>DATOS!$E267*DATOS!$F267</f>
        <v>46016.453716521901</v>
      </c>
    </row>
    <row r="268" spans="1:7" x14ac:dyDescent="0.3">
      <c r="A268" s="10">
        <v>40601</v>
      </c>
      <c r="B268" s="9" t="s">
        <v>5</v>
      </c>
      <c r="C268" s="9" t="s">
        <v>29</v>
      </c>
      <c r="D268" s="9" t="s">
        <v>32</v>
      </c>
      <c r="E268" s="9">
        <v>55.466542887987501</v>
      </c>
      <c r="F268" s="9">
        <v>830.09472243406105</v>
      </c>
      <c r="G268" s="9">
        <f>DATOS!$E268*DATOS!$F268</f>
        <v>46042.484522980929</v>
      </c>
    </row>
    <row r="269" spans="1:7" x14ac:dyDescent="0.3">
      <c r="A269" s="10">
        <v>41937</v>
      </c>
      <c r="B269" s="9" t="s">
        <v>5</v>
      </c>
      <c r="C269" s="9" t="s">
        <v>28</v>
      </c>
      <c r="D269" s="9" t="s">
        <v>32</v>
      </c>
      <c r="E269" s="9">
        <v>55.507681926788102</v>
      </c>
      <c r="F269" s="9">
        <v>829.948246414555</v>
      </c>
      <c r="G269" s="9">
        <f>DATOS!$E269*DATOS!$F269</f>
        <v>46068.503277674674</v>
      </c>
    </row>
    <row r="270" spans="1:7" x14ac:dyDescent="0.3">
      <c r="A270" s="10">
        <v>41821</v>
      </c>
      <c r="B270" s="9" t="s">
        <v>5</v>
      </c>
      <c r="C270" s="9" t="s">
        <v>25</v>
      </c>
      <c r="D270" s="9" t="s">
        <v>32</v>
      </c>
      <c r="E270" s="9">
        <v>55.548820965588703</v>
      </c>
      <c r="F270" s="9">
        <v>829.80177039504997</v>
      </c>
      <c r="G270" s="9">
        <f>DATOS!$E270*DATOS!$F270</f>
        <v>46094.509980603172</v>
      </c>
    </row>
    <row r="271" spans="1:7" x14ac:dyDescent="0.3">
      <c r="A271" s="10">
        <v>41168</v>
      </c>
      <c r="B271" s="9" t="s">
        <v>5</v>
      </c>
      <c r="C271" s="9" t="s">
        <v>28</v>
      </c>
      <c r="D271" s="9" t="s">
        <v>32</v>
      </c>
      <c r="E271" s="9">
        <v>55.589960004389198</v>
      </c>
      <c r="F271" s="9">
        <v>829.65529437554403</v>
      </c>
      <c r="G271" s="9">
        <f>DATOS!$E271*DATOS!$F271</f>
        <v>46120.504631766242</v>
      </c>
    </row>
    <row r="272" spans="1:7" x14ac:dyDescent="0.3">
      <c r="A272" s="10">
        <v>40492</v>
      </c>
      <c r="B272" s="9" t="s">
        <v>5</v>
      </c>
      <c r="C272" s="9" t="s">
        <v>24</v>
      </c>
      <c r="D272" s="9" t="s">
        <v>37</v>
      </c>
      <c r="E272" s="9">
        <v>55.631099043189799</v>
      </c>
      <c r="F272" s="9">
        <v>829.50881835603798</v>
      </c>
      <c r="G272" s="9">
        <f>DATOS!$E272*DATOS!$F272</f>
        <v>46146.487231164087</v>
      </c>
    </row>
    <row r="273" spans="1:7" x14ac:dyDescent="0.3">
      <c r="A273" s="10">
        <v>40867</v>
      </c>
      <c r="B273" s="9" t="s">
        <v>5</v>
      </c>
      <c r="C273" s="9" t="s">
        <v>25</v>
      </c>
      <c r="D273" s="9" t="s">
        <v>32</v>
      </c>
      <c r="E273" s="9">
        <v>55.6722380819904</v>
      </c>
      <c r="F273" s="9">
        <v>829.36234233653295</v>
      </c>
      <c r="G273" s="9">
        <f>DATOS!$E273*DATOS!$F273</f>
        <v>46172.457778796692</v>
      </c>
    </row>
    <row r="274" spans="1:7" x14ac:dyDescent="0.3">
      <c r="A274" s="10">
        <v>40666</v>
      </c>
      <c r="B274" s="9" t="s">
        <v>5</v>
      </c>
      <c r="C274" s="9" t="s">
        <v>24</v>
      </c>
      <c r="D274" s="9" t="s">
        <v>32</v>
      </c>
      <c r="E274" s="9">
        <v>55.713377120790902</v>
      </c>
      <c r="F274" s="9">
        <v>829.21586631702701</v>
      </c>
      <c r="G274" s="9">
        <f>DATOS!$E274*DATOS!$F274</f>
        <v>46198.416274663861</v>
      </c>
    </row>
    <row r="275" spans="1:7" x14ac:dyDescent="0.3">
      <c r="A275" s="10">
        <v>41114</v>
      </c>
      <c r="B275" s="9" t="s">
        <v>5</v>
      </c>
      <c r="C275" s="9" t="s">
        <v>26</v>
      </c>
      <c r="D275" s="9" t="s">
        <v>32</v>
      </c>
      <c r="E275" s="9">
        <v>55.754516159591503</v>
      </c>
      <c r="F275" s="9">
        <v>829.06939029752095</v>
      </c>
      <c r="G275" s="9">
        <f>DATOS!$E275*DATOS!$F275</f>
        <v>46224.362718765806</v>
      </c>
    </row>
    <row r="276" spans="1:7" x14ac:dyDescent="0.3">
      <c r="A276" s="10">
        <v>41091</v>
      </c>
      <c r="B276" s="9" t="s">
        <v>5</v>
      </c>
      <c r="C276" s="9" t="s">
        <v>24</v>
      </c>
      <c r="D276" s="9" t="s">
        <v>32</v>
      </c>
      <c r="E276" s="9">
        <v>55.795655198392097</v>
      </c>
      <c r="F276" s="9">
        <v>828.92291427801604</v>
      </c>
      <c r="G276" s="9">
        <f>DATOS!$E276*DATOS!$F276</f>
        <v>46250.297111102511</v>
      </c>
    </row>
    <row r="277" spans="1:7" x14ac:dyDescent="0.3">
      <c r="A277" s="10">
        <v>40550</v>
      </c>
      <c r="B277" s="9" t="s">
        <v>5</v>
      </c>
      <c r="C277" s="9" t="s">
        <v>25</v>
      </c>
      <c r="D277" s="9" t="s">
        <v>31</v>
      </c>
      <c r="E277" s="9">
        <v>55.836794237192599</v>
      </c>
      <c r="F277" s="9">
        <v>828.77643825850998</v>
      </c>
      <c r="G277" s="9">
        <f>DATOS!$E277*DATOS!$F277</f>
        <v>46276.21945167378</v>
      </c>
    </row>
    <row r="278" spans="1:7" x14ac:dyDescent="0.3">
      <c r="A278" s="10">
        <v>41871</v>
      </c>
      <c r="B278" s="9" t="s">
        <v>5</v>
      </c>
      <c r="C278" s="9" t="s">
        <v>29</v>
      </c>
      <c r="D278" s="9" t="s">
        <v>37</v>
      </c>
      <c r="E278" s="9">
        <v>55.8779332759932</v>
      </c>
      <c r="F278" s="9">
        <v>828.62996223900404</v>
      </c>
      <c r="G278" s="9">
        <f>DATOS!$E278*DATOS!$F278</f>
        <v>46302.129740479832</v>
      </c>
    </row>
    <row r="279" spans="1:7" x14ac:dyDescent="0.3">
      <c r="A279" s="10">
        <v>40996</v>
      </c>
      <c r="B279" s="9" t="s">
        <v>5</v>
      </c>
      <c r="C279" s="9" t="s">
        <v>27</v>
      </c>
      <c r="D279" s="9" t="s">
        <v>31</v>
      </c>
      <c r="E279" s="9">
        <v>55.919072314793802</v>
      </c>
      <c r="F279" s="9">
        <v>828.48348621949901</v>
      </c>
      <c r="G279" s="9">
        <f>DATOS!$E279*DATOS!$F279</f>
        <v>46328.027977520636</v>
      </c>
    </row>
    <row r="280" spans="1:7" x14ac:dyDescent="0.3">
      <c r="A280" s="10">
        <v>41750</v>
      </c>
      <c r="B280" s="9" t="s">
        <v>5</v>
      </c>
      <c r="C280" s="9" t="s">
        <v>27</v>
      </c>
      <c r="D280" s="9" t="s">
        <v>31</v>
      </c>
      <c r="E280" s="9">
        <v>55.960211353594303</v>
      </c>
      <c r="F280" s="9">
        <v>828.33701019999296</v>
      </c>
      <c r="G280" s="9">
        <f>DATOS!$E280*DATOS!$F280</f>
        <v>46353.914162796005</v>
      </c>
    </row>
    <row r="281" spans="1:7" x14ac:dyDescent="0.3">
      <c r="A281" s="10">
        <v>41786</v>
      </c>
      <c r="B281" s="9" t="s">
        <v>5</v>
      </c>
      <c r="C281" s="9" t="s">
        <v>26</v>
      </c>
      <c r="D281" s="9" t="s">
        <v>32</v>
      </c>
      <c r="E281" s="9">
        <v>56.001350392394897</v>
      </c>
      <c r="F281" s="9">
        <v>828.19053418048702</v>
      </c>
      <c r="G281" s="9">
        <f>DATOS!$E281*DATOS!$F281</f>
        <v>46379.788296306157</v>
      </c>
    </row>
    <row r="282" spans="1:7" x14ac:dyDescent="0.3">
      <c r="A282" s="10">
        <v>40792</v>
      </c>
      <c r="B282" s="9" t="s">
        <v>5</v>
      </c>
      <c r="C282" s="9" t="s">
        <v>25</v>
      </c>
      <c r="D282" s="9" t="s">
        <v>32</v>
      </c>
      <c r="E282" s="9">
        <v>56.042489431195499</v>
      </c>
      <c r="F282" s="9">
        <v>828.04405816098199</v>
      </c>
      <c r="G282" s="9">
        <f>DATOS!$E282*DATOS!$F282</f>
        <v>46405.650378051061</v>
      </c>
    </row>
    <row r="283" spans="1:7" x14ac:dyDescent="0.3">
      <c r="A283" s="10">
        <v>40431</v>
      </c>
      <c r="B283" s="9" t="s">
        <v>5</v>
      </c>
      <c r="C283" s="9" t="s">
        <v>25</v>
      </c>
      <c r="D283" s="9" t="s">
        <v>33</v>
      </c>
      <c r="E283" s="9">
        <v>56.083628469996</v>
      </c>
      <c r="F283" s="9">
        <v>827.89758214147605</v>
      </c>
      <c r="G283" s="9">
        <f>DATOS!$E283*DATOS!$F283</f>
        <v>46431.500408030537</v>
      </c>
    </row>
    <row r="284" spans="1:7" x14ac:dyDescent="0.3">
      <c r="A284" s="10">
        <v>41418</v>
      </c>
      <c r="B284" s="9" t="s">
        <v>5</v>
      </c>
      <c r="C284" s="9" t="s">
        <v>25</v>
      </c>
      <c r="D284" s="9" t="s">
        <v>31</v>
      </c>
      <c r="E284" s="9">
        <v>56.124767508796602</v>
      </c>
      <c r="F284" s="9">
        <v>827.75110612197</v>
      </c>
      <c r="G284" s="9">
        <f>DATOS!$E284*DATOS!$F284</f>
        <v>46457.338386244788</v>
      </c>
    </row>
    <row r="285" spans="1:7" x14ac:dyDescent="0.3">
      <c r="A285" s="10">
        <v>40673</v>
      </c>
      <c r="B285" s="9" t="s">
        <v>5</v>
      </c>
      <c r="C285" s="9" t="s">
        <v>24</v>
      </c>
      <c r="D285" s="9" t="s">
        <v>33</v>
      </c>
      <c r="E285" s="9">
        <v>56.165906547597203</v>
      </c>
      <c r="F285" s="9">
        <v>827.60463010246497</v>
      </c>
      <c r="G285" s="9">
        <f>DATOS!$E285*DATOS!$F285</f>
        <v>46483.1643126938</v>
      </c>
    </row>
    <row r="286" spans="1:7" x14ac:dyDescent="0.3">
      <c r="A286" s="10">
        <v>40677</v>
      </c>
      <c r="B286" s="9" t="s">
        <v>5</v>
      </c>
      <c r="C286" s="9" t="s">
        <v>29</v>
      </c>
      <c r="D286" s="9" t="s">
        <v>37</v>
      </c>
      <c r="E286" s="9">
        <v>56.207045586397697</v>
      </c>
      <c r="F286" s="9">
        <v>827.45815408295903</v>
      </c>
      <c r="G286" s="9">
        <f>DATOS!$E286*DATOS!$F286</f>
        <v>46508.978187377368</v>
      </c>
    </row>
    <row r="287" spans="1:7" x14ac:dyDescent="0.3">
      <c r="A287" s="10">
        <v>41139</v>
      </c>
      <c r="B287" s="9" t="s">
        <v>5</v>
      </c>
      <c r="C287" s="9" t="s">
        <v>25</v>
      </c>
      <c r="D287" s="9" t="s">
        <v>31</v>
      </c>
      <c r="E287" s="9">
        <v>56.248184625198299</v>
      </c>
      <c r="F287" s="9">
        <v>827.311678063454</v>
      </c>
      <c r="G287" s="9">
        <f>DATOS!$E287*DATOS!$F287</f>
        <v>46534.780010295777</v>
      </c>
    </row>
    <row r="288" spans="1:7" x14ac:dyDescent="0.3">
      <c r="A288" s="10">
        <v>40629</v>
      </c>
      <c r="B288" s="9" t="s">
        <v>5</v>
      </c>
      <c r="C288" s="9" t="s">
        <v>28</v>
      </c>
      <c r="D288" s="9" t="s">
        <v>31</v>
      </c>
      <c r="E288" s="9">
        <v>56.2893236639989</v>
      </c>
      <c r="F288" s="9">
        <v>827.16520204394806</v>
      </c>
      <c r="G288" s="9">
        <f>DATOS!$E288*DATOS!$F288</f>
        <v>46560.569781448838</v>
      </c>
    </row>
    <row r="289" spans="1:7" x14ac:dyDescent="0.3">
      <c r="A289" s="10">
        <v>40292</v>
      </c>
      <c r="B289" s="9" t="s">
        <v>5</v>
      </c>
      <c r="C289" s="9" t="s">
        <v>29</v>
      </c>
      <c r="D289" s="9" t="s">
        <v>31</v>
      </c>
      <c r="E289" s="9">
        <v>56.330462702799402</v>
      </c>
      <c r="F289" s="9">
        <v>827.018726024442</v>
      </c>
      <c r="G289" s="9">
        <f>DATOS!$E289*DATOS!$F289</f>
        <v>46586.347500836506</v>
      </c>
    </row>
    <row r="290" spans="1:7" x14ac:dyDescent="0.3">
      <c r="A290" s="10">
        <v>40650</v>
      </c>
      <c r="B290" s="9" t="s">
        <v>5</v>
      </c>
      <c r="C290" s="9" t="s">
        <v>25</v>
      </c>
      <c r="D290" s="9" t="s">
        <v>31</v>
      </c>
      <c r="E290" s="9">
        <v>56.371601741600003</v>
      </c>
      <c r="F290" s="9">
        <v>826.87225000493697</v>
      </c>
      <c r="G290" s="9">
        <f>DATOS!$E290*DATOS!$F290</f>
        <v>46612.113168459015</v>
      </c>
    </row>
    <row r="291" spans="1:7" x14ac:dyDescent="0.3">
      <c r="A291" s="10">
        <v>41859</v>
      </c>
      <c r="B291" s="9" t="s">
        <v>5</v>
      </c>
      <c r="C291" s="9" t="s">
        <v>27</v>
      </c>
      <c r="D291" s="9" t="s">
        <v>32</v>
      </c>
      <c r="E291" s="9">
        <v>56.412740780400597</v>
      </c>
      <c r="F291" s="9">
        <v>826.72577398543103</v>
      </c>
      <c r="G291" s="9">
        <f>DATOS!$E291*DATOS!$F291</f>
        <v>46637.866784316175</v>
      </c>
    </row>
    <row r="292" spans="1:7" x14ac:dyDescent="0.3">
      <c r="A292" s="10">
        <v>40203</v>
      </c>
      <c r="B292" s="9" t="s">
        <v>5</v>
      </c>
      <c r="C292" s="9" t="s">
        <v>27</v>
      </c>
      <c r="D292" s="9" t="s">
        <v>37</v>
      </c>
      <c r="E292" s="9">
        <v>56.453879819201802</v>
      </c>
      <c r="F292" s="9">
        <v>826.57929796592498</v>
      </c>
      <c r="G292" s="9">
        <f>DATOS!$E292*DATOS!$F292</f>
        <v>46663.608348408525</v>
      </c>
    </row>
    <row r="293" spans="1:7" x14ac:dyDescent="0.3">
      <c r="A293" s="10">
        <v>41779</v>
      </c>
      <c r="B293" s="9" t="s">
        <v>5</v>
      </c>
      <c r="C293" s="9" t="s">
        <v>26</v>
      </c>
      <c r="D293" s="9" t="s">
        <v>32</v>
      </c>
      <c r="E293" s="9">
        <v>56.4950188580017</v>
      </c>
      <c r="F293" s="9">
        <v>826.43282194641995</v>
      </c>
      <c r="G293" s="9">
        <f>DATOS!$E293*DATOS!$F293</f>
        <v>46689.337860734558</v>
      </c>
    </row>
    <row r="294" spans="1:7" x14ac:dyDescent="0.3">
      <c r="A294" s="10">
        <v>41224</v>
      </c>
      <c r="B294" s="9" t="s">
        <v>5</v>
      </c>
      <c r="C294" s="9" t="s">
        <v>28</v>
      </c>
      <c r="D294" s="9" t="s">
        <v>31</v>
      </c>
      <c r="E294" s="9">
        <v>56.536157896802301</v>
      </c>
      <c r="F294" s="9">
        <v>826.28634592691401</v>
      </c>
      <c r="G294" s="9">
        <f>DATOS!$E294*DATOS!$F294</f>
        <v>46715.055321295818</v>
      </c>
    </row>
    <row r="295" spans="1:7" x14ac:dyDescent="0.3">
      <c r="A295" s="10">
        <v>41803</v>
      </c>
      <c r="B295" s="9" t="s">
        <v>5</v>
      </c>
      <c r="C295" s="9" t="s">
        <v>26</v>
      </c>
      <c r="D295" s="9" t="s">
        <v>31</v>
      </c>
      <c r="E295" s="9">
        <v>56.577296935602803</v>
      </c>
      <c r="F295" s="9">
        <v>826.13986990740898</v>
      </c>
      <c r="G295" s="9">
        <f>DATOS!$E295*DATOS!$F295</f>
        <v>46740.760730091752</v>
      </c>
    </row>
    <row r="296" spans="1:7" x14ac:dyDescent="0.3">
      <c r="A296" s="10">
        <v>41681</v>
      </c>
      <c r="B296" s="9" t="s">
        <v>5</v>
      </c>
      <c r="C296" s="9" t="s">
        <v>27</v>
      </c>
      <c r="D296" s="9" t="s">
        <v>37</v>
      </c>
      <c r="E296" s="9">
        <v>56.618435974403397</v>
      </c>
      <c r="F296" s="9">
        <v>825.99339388790304</v>
      </c>
      <c r="G296" s="9">
        <f>DATOS!$E296*DATOS!$F296</f>
        <v>46766.454087122402</v>
      </c>
    </row>
    <row r="297" spans="1:7" x14ac:dyDescent="0.3">
      <c r="A297" s="10">
        <v>41426</v>
      </c>
      <c r="B297" s="9" t="s">
        <v>5</v>
      </c>
      <c r="C297" s="9" t="s">
        <v>29</v>
      </c>
      <c r="D297" s="9" t="s">
        <v>31</v>
      </c>
      <c r="E297" s="9">
        <v>56.659575013203998</v>
      </c>
      <c r="F297" s="9">
        <v>825.84691786839699</v>
      </c>
      <c r="G297" s="9">
        <f>DATOS!$E297*DATOS!$F297</f>
        <v>46792.135392387761</v>
      </c>
    </row>
    <row r="298" spans="1:7" x14ac:dyDescent="0.3">
      <c r="A298" s="10">
        <v>41526</v>
      </c>
      <c r="B298" s="9" t="s">
        <v>5</v>
      </c>
      <c r="C298" s="9" t="s">
        <v>26</v>
      </c>
      <c r="D298" s="9" t="s">
        <v>31</v>
      </c>
      <c r="E298" s="9">
        <v>56.7007140520045</v>
      </c>
      <c r="F298" s="9">
        <v>825.70044184889196</v>
      </c>
      <c r="G298" s="9">
        <f>DATOS!$E298*DATOS!$F298</f>
        <v>46817.804645887794</v>
      </c>
    </row>
    <row r="299" spans="1:7" x14ac:dyDescent="0.3">
      <c r="A299" s="10">
        <v>40598</v>
      </c>
      <c r="B299" s="9" t="s">
        <v>5</v>
      </c>
      <c r="C299" s="9" t="s">
        <v>26</v>
      </c>
      <c r="D299" s="9" t="s">
        <v>31</v>
      </c>
      <c r="E299" s="9">
        <v>56.741853090805101</v>
      </c>
      <c r="F299" s="9">
        <v>825.55396582938602</v>
      </c>
      <c r="G299" s="9">
        <f>DATOS!$E299*DATOS!$F299</f>
        <v>46843.461847622559</v>
      </c>
    </row>
    <row r="300" spans="1:7" x14ac:dyDescent="0.3">
      <c r="A300" s="10">
        <v>41771</v>
      </c>
      <c r="B300" s="9" t="s">
        <v>5</v>
      </c>
      <c r="C300" s="9" t="s">
        <v>26</v>
      </c>
      <c r="D300" s="9" t="s">
        <v>31</v>
      </c>
      <c r="E300" s="9">
        <v>56.782992129605702</v>
      </c>
      <c r="F300" s="9">
        <v>825.40748980987996</v>
      </c>
      <c r="G300" s="9">
        <f>DATOS!$E300*DATOS!$F300</f>
        <v>46869.106997592011</v>
      </c>
    </row>
    <row r="301" spans="1:7" x14ac:dyDescent="0.3">
      <c r="A301" s="10">
        <v>41247</v>
      </c>
      <c r="B301" s="9" t="s">
        <v>5</v>
      </c>
      <c r="C301" s="9" t="s">
        <v>25</v>
      </c>
      <c r="D301" s="9" t="s">
        <v>33</v>
      </c>
      <c r="E301" s="9">
        <v>56.824131168406197</v>
      </c>
      <c r="F301" s="9">
        <v>825.26101379037505</v>
      </c>
      <c r="G301" s="9">
        <f>DATOS!$E301*DATOS!$F301</f>
        <v>46894.740095796144</v>
      </c>
    </row>
    <row r="302" spans="1:7" x14ac:dyDescent="0.3">
      <c r="A302" s="10">
        <v>40286</v>
      </c>
      <c r="B302" s="9" t="s">
        <v>5</v>
      </c>
      <c r="C302" s="9" t="s">
        <v>29</v>
      </c>
      <c r="D302" s="9" t="s">
        <v>37</v>
      </c>
      <c r="E302" s="9">
        <v>56.865270207206798</v>
      </c>
      <c r="F302" s="9">
        <v>825.11453777086899</v>
      </c>
      <c r="G302" s="9">
        <f>DATOS!$E302*DATOS!$F302</f>
        <v>46920.361142235008</v>
      </c>
    </row>
    <row r="303" spans="1:7" x14ac:dyDescent="0.3">
      <c r="A303" s="10">
        <v>41756</v>
      </c>
      <c r="B303" s="9" t="s">
        <v>5</v>
      </c>
      <c r="C303" s="9" t="s">
        <v>25</v>
      </c>
      <c r="D303" s="9" t="s">
        <v>32</v>
      </c>
      <c r="E303" s="9">
        <v>56.906409246007399</v>
      </c>
      <c r="F303" s="9">
        <v>824.96806175136305</v>
      </c>
      <c r="G303" s="9">
        <f>DATOS!$E303*DATOS!$F303</f>
        <v>46945.970136908567</v>
      </c>
    </row>
    <row r="304" spans="1:7" x14ac:dyDescent="0.3">
      <c r="A304" s="10">
        <v>41530</v>
      </c>
      <c r="B304" s="9" t="s">
        <v>5</v>
      </c>
      <c r="C304" s="9" t="s">
        <v>27</v>
      </c>
      <c r="D304" s="9" t="s">
        <v>37</v>
      </c>
      <c r="E304" s="9">
        <v>56.947548284807901</v>
      </c>
      <c r="F304" s="9">
        <v>824.82158573185802</v>
      </c>
      <c r="G304" s="9">
        <f>DATOS!$E304*DATOS!$F304</f>
        <v>46971.567079816807</v>
      </c>
    </row>
    <row r="305" spans="1:7" x14ac:dyDescent="0.3">
      <c r="A305" s="10">
        <v>41744</v>
      </c>
      <c r="B305" s="9" t="s">
        <v>5</v>
      </c>
      <c r="C305" s="9" t="s">
        <v>27</v>
      </c>
      <c r="D305" s="9" t="s">
        <v>37</v>
      </c>
      <c r="E305" s="9">
        <v>56.988687323608502</v>
      </c>
      <c r="F305" s="9">
        <v>824.67510971235197</v>
      </c>
      <c r="G305" s="9">
        <f>DATOS!$E305*DATOS!$F305</f>
        <v>46997.151970959763</v>
      </c>
    </row>
    <row r="306" spans="1:7" x14ac:dyDescent="0.3">
      <c r="A306" s="10">
        <v>40436</v>
      </c>
      <c r="B306" s="9" t="s">
        <v>5</v>
      </c>
      <c r="C306" s="9" t="s">
        <v>24</v>
      </c>
      <c r="D306" s="9" t="s">
        <v>37</v>
      </c>
      <c r="E306" s="9">
        <v>57.029826362409104</v>
      </c>
      <c r="F306" s="9">
        <v>824.52863369284603</v>
      </c>
      <c r="G306" s="9">
        <f>DATOS!$E306*DATOS!$F306</f>
        <v>47022.72481033743</v>
      </c>
    </row>
    <row r="307" spans="1:7" x14ac:dyDescent="0.3">
      <c r="A307" s="10">
        <v>41590</v>
      </c>
      <c r="B307" s="9" t="s">
        <v>5</v>
      </c>
      <c r="C307" s="9" t="s">
        <v>28</v>
      </c>
      <c r="D307" s="9" t="s">
        <v>32</v>
      </c>
      <c r="E307" s="9">
        <v>57.070965401209598</v>
      </c>
      <c r="F307" s="9">
        <v>824.382157673341</v>
      </c>
      <c r="G307" s="9">
        <f>DATOS!$E307*DATOS!$F307</f>
        <v>47048.285597949762</v>
      </c>
    </row>
    <row r="308" spans="1:7" x14ac:dyDescent="0.3">
      <c r="A308" s="10">
        <v>40951</v>
      </c>
      <c r="B308" s="9" t="s">
        <v>5</v>
      </c>
      <c r="C308" s="9" t="s">
        <v>29</v>
      </c>
      <c r="D308" s="9" t="s">
        <v>33</v>
      </c>
      <c r="E308" s="9">
        <v>57.112104440010199</v>
      </c>
      <c r="F308" s="9">
        <v>824.23568165383494</v>
      </c>
      <c r="G308" s="9">
        <f>DATOS!$E308*DATOS!$F308</f>
        <v>47073.834333796818</v>
      </c>
    </row>
    <row r="309" spans="1:7" x14ac:dyDescent="0.3">
      <c r="A309" s="10">
        <v>41361</v>
      </c>
      <c r="B309" s="9" t="s">
        <v>5</v>
      </c>
      <c r="C309" s="9" t="s">
        <v>28</v>
      </c>
      <c r="D309" s="9" t="s">
        <v>31</v>
      </c>
      <c r="E309" s="9">
        <v>57.153243478810801</v>
      </c>
      <c r="F309" s="9">
        <v>824.08920563432901</v>
      </c>
      <c r="G309" s="9">
        <f>DATOS!$E309*DATOS!$F309</f>
        <v>47099.371017878584</v>
      </c>
    </row>
    <row r="310" spans="1:7" x14ac:dyDescent="0.3">
      <c r="A310" s="10">
        <v>40588</v>
      </c>
      <c r="B310" s="9" t="s">
        <v>5</v>
      </c>
      <c r="C310" s="9" t="s">
        <v>24</v>
      </c>
      <c r="D310" s="9" t="s">
        <v>32</v>
      </c>
      <c r="E310" s="9">
        <v>57.194382517611302</v>
      </c>
      <c r="F310" s="9">
        <v>823.94272961482397</v>
      </c>
      <c r="G310" s="9">
        <f>DATOS!$E310*DATOS!$F310</f>
        <v>47124.895650195023</v>
      </c>
    </row>
    <row r="311" spans="1:7" x14ac:dyDescent="0.3">
      <c r="A311" s="10">
        <v>41052</v>
      </c>
      <c r="B311" s="9" t="s">
        <v>5</v>
      </c>
      <c r="C311" s="9" t="s">
        <v>24</v>
      </c>
      <c r="D311" s="9" t="s">
        <v>37</v>
      </c>
      <c r="E311" s="9">
        <v>57.235521556411904</v>
      </c>
      <c r="F311" s="9">
        <v>823.79625359531803</v>
      </c>
      <c r="G311" s="9">
        <f>DATOS!$E311*DATOS!$F311</f>
        <v>47150.408230746194</v>
      </c>
    </row>
    <row r="312" spans="1:7" x14ac:dyDescent="0.3">
      <c r="A312" s="10">
        <v>40792</v>
      </c>
      <c r="B312" s="9" t="s">
        <v>5</v>
      </c>
      <c r="C312" s="9" t="s">
        <v>29</v>
      </c>
      <c r="D312" s="9" t="s">
        <v>31</v>
      </c>
      <c r="E312" s="9">
        <v>57.276660595212498</v>
      </c>
      <c r="F312" s="9">
        <v>823.649777575813</v>
      </c>
      <c r="G312" s="9">
        <f>DATOS!$E312*DATOS!$F312</f>
        <v>47175.908759532103</v>
      </c>
    </row>
    <row r="313" spans="1:7" x14ac:dyDescent="0.3">
      <c r="A313" s="10">
        <v>41379</v>
      </c>
      <c r="B313" s="9" t="s">
        <v>5</v>
      </c>
      <c r="C313" s="9" t="s">
        <v>27</v>
      </c>
      <c r="D313" s="9" t="s">
        <v>31</v>
      </c>
      <c r="E313" s="9">
        <v>57.317799634012999</v>
      </c>
      <c r="F313" s="9">
        <v>823.50330155630695</v>
      </c>
      <c r="G313" s="9">
        <f>DATOS!$E313*DATOS!$F313</f>
        <v>47201.397236552584</v>
      </c>
    </row>
    <row r="314" spans="1:7" x14ac:dyDescent="0.3">
      <c r="A314" s="10">
        <v>40312</v>
      </c>
      <c r="B314" s="9" t="s">
        <v>5</v>
      </c>
      <c r="C314" s="9" t="s">
        <v>29</v>
      </c>
      <c r="D314" s="9" t="s">
        <v>32</v>
      </c>
      <c r="E314" s="9">
        <v>57.358938672813601</v>
      </c>
      <c r="F314" s="9">
        <v>823.35682553680101</v>
      </c>
      <c r="G314" s="9">
        <f>DATOS!$E314*DATOS!$F314</f>
        <v>47226.873661807855</v>
      </c>
    </row>
    <row r="315" spans="1:7" x14ac:dyDescent="0.3">
      <c r="A315" s="10">
        <v>40533</v>
      </c>
      <c r="B315" s="9" t="s">
        <v>5</v>
      </c>
      <c r="C315" s="9" t="s">
        <v>27</v>
      </c>
      <c r="D315" s="9" t="s">
        <v>32</v>
      </c>
      <c r="E315" s="9">
        <v>57.400077711614202</v>
      </c>
      <c r="F315" s="9">
        <v>823.21034951729598</v>
      </c>
      <c r="G315" s="9">
        <f>DATOS!$E315*DATOS!$F315</f>
        <v>47252.338035297878</v>
      </c>
    </row>
    <row r="316" spans="1:7" x14ac:dyDescent="0.3">
      <c r="A316" s="10">
        <v>41918</v>
      </c>
      <c r="B316" s="9" t="s">
        <v>5</v>
      </c>
      <c r="C316" s="9" t="s">
        <v>25</v>
      </c>
      <c r="D316" s="9" t="s">
        <v>37</v>
      </c>
      <c r="E316" s="9">
        <v>57.441216750414704</v>
      </c>
      <c r="F316" s="9">
        <v>823.06387349779004</v>
      </c>
      <c r="G316" s="9">
        <f>DATOS!$E316*DATOS!$F316</f>
        <v>47277.790357022466</v>
      </c>
    </row>
    <row r="317" spans="1:7" x14ac:dyDescent="0.3">
      <c r="A317" s="10">
        <v>41146</v>
      </c>
      <c r="B317" s="9" t="s">
        <v>5</v>
      </c>
      <c r="C317" s="9" t="s">
        <v>26</v>
      </c>
      <c r="D317" s="9" t="s">
        <v>32</v>
      </c>
      <c r="E317" s="9">
        <v>57.482355789215298</v>
      </c>
      <c r="F317" s="9">
        <v>822.91739747828399</v>
      </c>
      <c r="G317" s="9">
        <f>DATOS!$E317*DATOS!$F317</f>
        <v>47303.230626981822</v>
      </c>
    </row>
    <row r="318" spans="1:7" x14ac:dyDescent="0.3">
      <c r="A318" s="10">
        <v>40305</v>
      </c>
      <c r="B318" s="9" t="s">
        <v>6</v>
      </c>
      <c r="C318" s="9" t="s">
        <v>26</v>
      </c>
      <c r="D318" s="9" t="s">
        <v>37</v>
      </c>
      <c r="E318" s="9">
        <v>57.523494828015899</v>
      </c>
      <c r="F318" s="9">
        <v>822.77092145877896</v>
      </c>
      <c r="G318" s="9">
        <f>DATOS!$E318*DATOS!$F318</f>
        <v>47328.658845175945</v>
      </c>
    </row>
    <row r="319" spans="1:7" x14ac:dyDescent="0.3">
      <c r="A319" s="10">
        <v>40383</v>
      </c>
      <c r="B319" s="9" t="s">
        <v>6</v>
      </c>
      <c r="C319" s="9" t="s">
        <v>28</v>
      </c>
      <c r="D319" s="9" t="s">
        <v>37</v>
      </c>
      <c r="E319" s="9">
        <v>57.564633866816401</v>
      </c>
      <c r="F319" s="9">
        <v>822.62444543927302</v>
      </c>
      <c r="G319" s="9">
        <f>DATOS!$E319*DATOS!$F319</f>
        <v>47354.075011604633</v>
      </c>
    </row>
    <row r="320" spans="1:7" x14ac:dyDescent="0.3">
      <c r="A320" s="10">
        <v>41019</v>
      </c>
      <c r="B320" s="9" t="s">
        <v>6</v>
      </c>
      <c r="C320" s="9" t="s">
        <v>26</v>
      </c>
      <c r="D320" s="9" t="s">
        <v>31</v>
      </c>
      <c r="E320" s="9">
        <v>57.605772905617002</v>
      </c>
      <c r="F320" s="9">
        <v>822.47796941976799</v>
      </c>
      <c r="G320" s="9">
        <f>DATOS!$E320*DATOS!$F320</f>
        <v>47379.479126268161</v>
      </c>
    </row>
    <row r="321" spans="1:7" x14ac:dyDescent="0.3">
      <c r="A321" s="10">
        <v>40356</v>
      </c>
      <c r="B321" s="9" t="s">
        <v>6</v>
      </c>
      <c r="C321" s="9" t="s">
        <v>24</v>
      </c>
      <c r="D321" s="9" t="s">
        <v>32</v>
      </c>
      <c r="E321" s="9">
        <v>57.646911944417603</v>
      </c>
      <c r="F321" s="9">
        <v>822.33149340026205</v>
      </c>
      <c r="G321" s="9">
        <f>DATOS!$E321*DATOS!$F321</f>
        <v>47404.871189166333</v>
      </c>
    </row>
    <row r="322" spans="1:7" x14ac:dyDescent="0.3">
      <c r="A322" s="10">
        <v>41673</v>
      </c>
      <c r="B322" s="9" t="s">
        <v>6</v>
      </c>
      <c r="C322" s="9" t="s">
        <v>29</v>
      </c>
      <c r="D322" s="9" t="s">
        <v>32</v>
      </c>
      <c r="E322" s="9">
        <v>57.688050983218098</v>
      </c>
      <c r="F322" s="9">
        <v>822.18501738075599</v>
      </c>
      <c r="G322" s="9">
        <f>DATOS!$E322*DATOS!$F322</f>
        <v>47430.251200299106</v>
      </c>
    </row>
    <row r="323" spans="1:7" x14ac:dyDescent="0.3">
      <c r="A323" s="10">
        <v>40834</v>
      </c>
      <c r="B323" s="9" t="s">
        <v>6</v>
      </c>
      <c r="C323" s="9" t="s">
        <v>24</v>
      </c>
      <c r="D323" s="9" t="s">
        <v>30</v>
      </c>
      <c r="E323" s="9">
        <v>57.729190022018699</v>
      </c>
      <c r="F323" s="9">
        <v>822.03854136125096</v>
      </c>
      <c r="G323" s="9">
        <f>DATOS!$E323*DATOS!$F323</f>
        <v>47455.619159666734</v>
      </c>
    </row>
    <row r="324" spans="1:7" x14ac:dyDescent="0.3">
      <c r="A324" s="10">
        <v>40267</v>
      </c>
      <c r="B324" s="9" t="s">
        <v>6</v>
      </c>
      <c r="C324" s="9" t="s">
        <v>24</v>
      </c>
      <c r="D324" s="9" t="s">
        <v>33</v>
      </c>
      <c r="E324" s="9">
        <v>57.7703290608193</v>
      </c>
      <c r="F324" s="9">
        <v>821.89206534174502</v>
      </c>
      <c r="G324" s="9">
        <f>DATOS!$E324*DATOS!$F324</f>
        <v>47480.975067269006</v>
      </c>
    </row>
    <row r="325" spans="1:7" x14ac:dyDescent="0.3">
      <c r="A325" s="10">
        <v>41902</v>
      </c>
      <c r="B325" s="9" t="s">
        <v>6</v>
      </c>
      <c r="C325" s="9" t="s">
        <v>29</v>
      </c>
      <c r="D325" s="9" t="s">
        <v>30</v>
      </c>
      <c r="E325" s="9">
        <v>57.811468099619802</v>
      </c>
      <c r="F325" s="9">
        <v>821.74558932223897</v>
      </c>
      <c r="G325" s="9">
        <f>DATOS!$E325*DATOS!$F325</f>
        <v>47506.318923105893</v>
      </c>
    </row>
    <row r="326" spans="1:7" x14ac:dyDescent="0.3">
      <c r="A326" s="10">
        <v>40957</v>
      </c>
      <c r="B326" s="9" t="s">
        <v>6</v>
      </c>
      <c r="C326" s="9" t="s">
        <v>29</v>
      </c>
      <c r="D326" s="9" t="s">
        <v>32</v>
      </c>
      <c r="E326" s="9">
        <v>57.852607138420403</v>
      </c>
      <c r="F326" s="9">
        <v>821.59911330273405</v>
      </c>
      <c r="G326" s="9">
        <f>DATOS!$E326*DATOS!$F326</f>
        <v>47531.650727177628</v>
      </c>
    </row>
    <row r="327" spans="1:7" x14ac:dyDescent="0.3">
      <c r="A327" s="10">
        <v>40253</v>
      </c>
      <c r="B327" s="9" t="s">
        <v>6</v>
      </c>
      <c r="C327" s="9" t="s">
        <v>27</v>
      </c>
      <c r="D327" s="9" t="s">
        <v>32</v>
      </c>
      <c r="E327" s="9">
        <v>57.893746177220997</v>
      </c>
      <c r="F327" s="9">
        <v>821.452637283228</v>
      </c>
      <c r="G327" s="9">
        <f>DATOS!$E327*DATOS!$F327</f>
        <v>47556.970479483985</v>
      </c>
    </row>
    <row r="328" spans="1:7" x14ac:dyDescent="0.3">
      <c r="A328" s="10">
        <v>41871</v>
      </c>
      <c r="B328" s="9" t="s">
        <v>6</v>
      </c>
      <c r="C328" s="9" t="s">
        <v>26</v>
      </c>
      <c r="D328" s="9" t="s">
        <v>33</v>
      </c>
      <c r="E328" s="9">
        <v>57.934885216021499</v>
      </c>
      <c r="F328" s="9">
        <v>821.30616126372195</v>
      </c>
      <c r="G328" s="9">
        <f>DATOS!$E328*DATOS!$F328</f>
        <v>47582.278180024972</v>
      </c>
    </row>
    <row r="329" spans="1:7" x14ac:dyDescent="0.3">
      <c r="A329" s="10">
        <v>41272</v>
      </c>
      <c r="B329" s="9" t="s">
        <v>6</v>
      </c>
      <c r="C329" s="9" t="s">
        <v>26</v>
      </c>
      <c r="D329" s="9" t="s">
        <v>37</v>
      </c>
      <c r="E329" s="9">
        <v>57.9760242548221</v>
      </c>
      <c r="F329" s="9">
        <v>821.15968524421703</v>
      </c>
      <c r="G329" s="9">
        <f>DATOS!$E329*DATOS!$F329</f>
        <v>47607.573828800807</v>
      </c>
    </row>
    <row r="330" spans="1:7" x14ac:dyDescent="0.3">
      <c r="A330" s="10">
        <v>41748</v>
      </c>
      <c r="B330" s="9" t="s">
        <v>6</v>
      </c>
      <c r="C330" s="9" t="s">
        <v>28</v>
      </c>
      <c r="D330" s="9" t="s">
        <v>32</v>
      </c>
      <c r="E330" s="9">
        <v>58.017163293622701</v>
      </c>
      <c r="F330" s="9">
        <v>821.01320922471098</v>
      </c>
      <c r="G330" s="9">
        <f>DATOS!$E330*DATOS!$F330</f>
        <v>47632.857425811279</v>
      </c>
    </row>
    <row r="331" spans="1:7" x14ac:dyDescent="0.3">
      <c r="A331" s="10">
        <v>41671</v>
      </c>
      <c r="B331" s="9" t="s">
        <v>6</v>
      </c>
      <c r="C331" s="9" t="s">
        <v>27</v>
      </c>
      <c r="D331" s="9" t="s">
        <v>37</v>
      </c>
      <c r="E331" s="9">
        <v>58.058302332423203</v>
      </c>
      <c r="F331" s="9">
        <v>820.86673320520504</v>
      </c>
      <c r="G331" s="9">
        <f>DATOS!$E331*DATOS!$F331</f>
        <v>47658.128971056372</v>
      </c>
    </row>
    <row r="332" spans="1:7" x14ac:dyDescent="0.3">
      <c r="A332" s="10">
        <v>41693</v>
      </c>
      <c r="B332" s="9" t="s">
        <v>6</v>
      </c>
      <c r="C332" s="9" t="s">
        <v>25</v>
      </c>
      <c r="D332" s="9" t="s">
        <v>32</v>
      </c>
      <c r="E332" s="9">
        <v>58.099441371223797</v>
      </c>
      <c r="F332" s="9">
        <v>820.72025718570001</v>
      </c>
      <c r="G332" s="9">
        <f>DATOS!$E332*DATOS!$F332</f>
        <v>47683.388464536292</v>
      </c>
    </row>
    <row r="333" spans="1:7" x14ac:dyDescent="0.3">
      <c r="A333" s="10">
        <v>41502</v>
      </c>
      <c r="B333" s="9" t="s">
        <v>6</v>
      </c>
      <c r="C333" s="9" t="s">
        <v>24</v>
      </c>
      <c r="D333" s="9" t="s">
        <v>31</v>
      </c>
      <c r="E333" s="9">
        <v>58.140580410024398</v>
      </c>
      <c r="F333" s="9">
        <v>820.57378116619395</v>
      </c>
      <c r="G333" s="9">
        <f>DATOS!$E333*DATOS!$F333</f>
        <v>47708.635906250864</v>
      </c>
    </row>
    <row r="334" spans="1:7" x14ac:dyDescent="0.3">
      <c r="A334" s="10">
        <v>40468</v>
      </c>
      <c r="B334" s="9" t="s">
        <v>6</v>
      </c>
      <c r="C334" s="9" t="s">
        <v>24</v>
      </c>
      <c r="D334" s="9" t="s">
        <v>32</v>
      </c>
      <c r="E334" s="9">
        <v>58.1817194488249</v>
      </c>
      <c r="F334" s="9">
        <v>820.42730514668801</v>
      </c>
      <c r="G334" s="9">
        <f>DATOS!$E334*DATOS!$F334</f>
        <v>47733.871296200057</v>
      </c>
    </row>
    <row r="335" spans="1:7" x14ac:dyDescent="0.3">
      <c r="A335" s="10">
        <v>40659</v>
      </c>
      <c r="B335" s="9" t="s">
        <v>6</v>
      </c>
      <c r="C335" s="9" t="s">
        <v>29</v>
      </c>
      <c r="D335" s="9" t="s">
        <v>30</v>
      </c>
      <c r="E335" s="9">
        <v>58.222858487625501</v>
      </c>
      <c r="F335" s="9">
        <v>820.28082912718298</v>
      </c>
      <c r="G335" s="9">
        <f>DATOS!$E335*DATOS!$F335</f>
        <v>47759.094634384091</v>
      </c>
    </row>
    <row r="336" spans="1:7" x14ac:dyDescent="0.3">
      <c r="A336" s="10">
        <v>41256</v>
      </c>
      <c r="B336" s="9" t="s">
        <v>6</v>
      </c>
      <c r="C336" s="9" t="s">
        <v>24</v>
      </c>
      <c r="D336" s="9" t="s">
        <v>32</v>
      </c>
      <c r="E336" s="9">
        <v>58.263997526426103</v>
      </c>
      <c r="F336" s="9">
        <v>820.13435310767704</v>
      </c>
      <c r="G336" s="9">
        <f>DATOS!$E336*DATOS!$F336</f>
        <v>47784.30592080277</v>
      </c>
    </row>
    <row r="337" spans="1:7" x14ac:dyDescent="0.3">
      <c r="A337" s="10">
        <v>41079</v>
      </c>
      <c r="B337" s="9" t="s">
        <v>6</v>
      </c>
      <c r="C337" s="9" t="s">
        <v>25</v>
      </c>
      <c r="D337" s="9" t="s">
        <v>31</v>
      </c>
      <c r="E337" s="9">
        <v>58.305136565226597</v>
      </c>
      <c r="F337" s="9">
        <v>819.98787708817201</v>
      </c>
      <c r="G337" s="9">
        <f>DATOS!$E337*DATOS!$F337</f>
        <v>47809.505155456114</v>
      </c>
    </row>
    <row r="338" spans="1:7" x14ac:dyDescent="0.3">
      <c r="A338" s="10">
        <v>40521</v>
      </c>
      <c r="B338" s="9" t="s">
        <v>6</v>
      </c>
      <c r="C338" s="9" t="s">
        <v>29</v>
      </c>
      <c r="D338" s="9" t="s">
        <v>37</v>
      </c>
      <c r="E338" s="9">
        <v>58.346275604027198</v>
      </c>
      <c r="F338" s="9">
        <v>819.84140106866596</v>
      </c>
      <c r="G338" s="9">
        <f>DATOS!$E338*DATOS!$F338</f>
        <v>47834.692338344183</v>
      </c>
    </row>
    <row r="339" spans="1:7" x14ac:dyDescent="0.3">
      <c r="A339" s="10">
        <v>40545</v>
      </c>
      <c r="B339" s="9" t="s">
        <v>6</v>
      </c>
      <c r="C339" s="9" t="s">
        <v>29</v>
      </c>
      <c r="D339" s="9" t="s">
        <v>31</v>
      </c>
      <c r="E339" s="9">
        <v>58.3874146428278</v>
      </c>
      <c r="F339" s="9">
        <v>819.69492504916002</v>
      </c>
      <c r="G339" s="9">
        <f>DATOS!$E339*DATOS!$F339</f>
        <v>47859.867469466961</v>
      </c>
    </row>
    <row r="340" spans="1:7" x14ac:dyDescent="0.3">
      <c r="A340" s="10">
        <v>41525</v>
      </c>
      <c r="B340" s="9" t="s">
        <v>6</v>
      </c>
      <c r="C340" s="9" t="s">
        <v>24</v>
      </c>
      <c r="D340" s="9" t="s">
        <v>31</v>
      </c>
      <c r="E340" s="9">
        <v>58.428553681628301</v>
      </c>
      <c r="F340" s="9">
        <v>819.54844902965499</v>
      </c>
      <c r="G340" s="9">
        <f>DATOS!$E340*DATOS!$F340</f>
        <v>47885.030548824412</v>
      </c>
    </row>
    <row r="341" spans="1:7" x14ac:dyDescent="0.3">
      <c r="A341" s="10">
        <v>40589</v>
      </c>
      <c r="B341" s="9" t="s">
        <v>6</v>
      </c>
      <c r="C341" s="9" t="s">
        <v>29</v>
      </c>
      <c r="D341" s="9" t="s">
        <v>32</v>
      </c>
      <c r="E341" s="9">
        <v>58.469692720428903</v>
      </c>
      <c r="F341" s="9">
        <v>819.40197301014905</v>
      </c>
      <c r="G341" s="9">
        <f>DATOS!$E341*DATOS!$F341</f>
        <v>47910.181576416595</v>
      </c>
    </row>
    <row r="342" spans="1:7" x14ac:dyDescent="0.3">
      <c r="A342" s="10">
        <v>40943</v>
      </c>
      <c r="B342" s="9" t="s">
        <v>6</v>
      </c>
      <c r="C342" s="9" t="s">
        <v>26</v>
      </c>
      <c r="D342" s="9" t="s">
        <v>33</v>
      </c>
      <c r="E342" s="9">
        <v>58.510831759229497</v>
      </c>
      <c r="F342" s="9">
        <v>819.255496990643</v>
      </c>
      <c r="G342" s="9">
        <f>DATOS!$E342*DATOS!$F342</f>
        <v>47935.320552243458</v>
      </c>
    </row>
    <row r="343" spans="1:7" x14ac:dyDescent="0.3">
      <c r="A343" s="10">
        <v>41455</v>
      </c>
      <c r="B343" s="9" t="s">
        <v>6</v>
      </c>
      <c r="C343" s="9" t="s">
        <v>25</v>
      </c>
      <c r="D343" s="9" t="s">
        <v>31</v>
      </c>
      <c r="E343" s="9">
        <v>58.551970798029998</v>
      </c>
      <c r="F343" s="9">
        <v>819.10902097113797</v>
      </c>
      <c r="G343" s="9">
        <f>DATOS!$E343*DATOS!$F343</f>
        <v>47960.447476305009</v>
      </c>
    </row>
    <row r="344" spans="1:7" x14ac:dyDescent="0.3">
      <c r="A344" s="10">
        <v>41171</v>
      </c>
      <c r="B344" s="9" t="s">
        <v>6</v>
      </c>
      <c r="C344" s="9" t="s">
        <v>28</v>
      </c>
      <c r="D344" s="9" t="s">
        <v>32</v>
      </c>
      <c r="E344" s="9">
        <v>58.5931098368306</v>
      </c>
      <c r="F344" s="9">
        <v>818.96254495163203</v>
      </c>
      <c r="G344" s="9">
        <f>DATOS!$E344*DATOS!$F344</f>
        <v>47985.562348601292</v>
      </c>
    </row>
    <row r="345" spans="1:7" x14ac:dyDescent="0.3">
      <c r="A345" s="10">
        <v>40657</v>
      </c>
      <c r="B345" s="9" t="s">
        <v>6</v>
      </c>
      <c r="C345" s="9" t="s">
        <v>25</v>
      </c>
      <c r="D345" s="9" t="s">
        <v>32</v>
      </c>
      <c r="E345" s="9">
        <v>58.634248875631201</v>
      </c>
      <c r="F345" s="9">
        <v>818.816068932127</v>
      </c>
      <c r="G345" s="9">
        <f>DATOS!$E345*DATOS!$F345</f>
        <v>48010.665169132328</v>
      </c>
    </row>
    <row r="346" spans="1:7" x14ac:dyDescent="0.3">
      <c r="A346" s="10">
        <v>40903</v>
      </c>
      <c r="B346" s="9" t="s">
        <v>6</v>
      </c>
      <c r="C346" s="9" t="s">
        <v>29</v>
      </c>
      <c r="D346" s="9" t="s">
        <v>31</v>
      </c>
      <c r="E346" s="9">
        <v>58.675387914431703</v>
      </c>
      <c r="F346" s="9">
        <v>818.66959291262106</v>
      </c>
      <c r="G346" s="9">
        <f>DATOS!$E346*DATOS!$F346</f>
        <v>48035.755937897928</v>
      </c>
    </row>
    <row r="347" spans="1:7" x14ac:dyDescent="0.3">
      <c r="A347" s="10">
        <v>40591</v>
      </c>
      <c r="B347" s="9" t="s">
        <v>6</v>
      </c>
      <c r="C347" s="9" t="s">
        <v>25</v>
      </c>
      <c r="D347" s="9" t="s">
        <v>31</v>
      </c>
      <c r="E347" s="9">
        <v>58.716526953232297</v>
      </c>
      <c r="F347" s="9">
        <v>818.523116893115</v>
      </c>
      <c r="G347" s="9">
        <f>DATOS!$E347*DATOS!$F347</f>
        <v>48060.834654898295</v>
      </c>
    </row>
    <row r="348" spans="1:7" x14ac:dyDescent="0.3">
      <c r="A348" s="10">
        <v>40411</v>
      </c>
      <c r="B348" s="9" t="s">
        <v>6</v>
      </c>
      <c r="C348" s="9" t="s">
        <v>26</v>
      </c>
      <c r="D348" s="9" t="s">
        <v>31</v>
      </c>
      <c r="E348" s="9">
        <v>58.757665992032898</v>
      </c>
      <c r="F348" s="9">
        <v>818.37664087360997</v>
      </c>
      <c r="G348" s="9">
        <f>DATOS!$E348*DATOS!$F348</f>
        <v>48085.901320133431</v>
      </c>
    </row>
    <row r="349" spans="1:7" x14ac:dyDescent="0.3">
      <c r="A349" s="10">
        <v>41214</v>
      </c>
      <c r="B349" s="9" t="s">
        <v>6</v>
      </c>
      <c r="C349" s="9" t="s">
        <v>27</v>
      </c>
      <c r="D349" s="9" t="s">
        <v>37</v>
      </c>
      <c r="E349" s="9">
        <v>58.7988050308334</v>
      </c>
      <c r="F349" s="9">
        <v>818.23016485410403</v>
      </c>
      <c r="G349" s="9">
        <f>DATOS!$E349*DATOS!$F349</f>
        <v>48110.955933603131</v>
      </c>
    </row>
    <row r="350" spans="1:7" x14ac:dyDescent="0.3">
      <c r="A350" s="10">
        <v>41041</v>
      </c>
      <c r="B350" s="9" t="s">
        <v>6</v>
      </c>
      <c r="C350" s="9" t="s">
        <v>27</v>
      </c>
      <c r="D350" s="9" t="s">
        <v>33</v>
      </c>
      <c r="E350" s="9">
        <v>58.839944069634001</v>
      </c>
      <c r="F350" s="9">
        <v>818.08368883459798</v>
      </c>
      <c r="G350" s="9">
        <f>DATOS!$E350*DATOS!$F350</f>
        <v>48135.998495307613</v>
      </c>
    </row>
    <row r="351" spans="1:7" x14ac:dyDescent="0.3">
      <c r="A351" s="10">
        <v>40256</v>
      </c>
      <c r="B351" s="9" t="s">
        <v>6</v>
      </c>
      <c r="C351" s="9" t="s">
        <v>24</v>
      </c>
      <c r="D351" s="9" t="s">
        <v>31</v>
      </c>
      <c r="E351" s="9">
        <v>58.881083108434602</v>
      </c>
      <c r="F351" s="9">
        <v>817.93721281509295</v>
      </c>
      <c r="G351" s="9">
        <f>DATOS!$E351*DATOS!$F351</f>
        <v>48161.029005246848</v>
      </c>
    </row>
    <row r="352" spans="1:7" x14ac:dyDescent="0.3">
      <c r="A352" s="10">
        <v>40920</v>
      </c>
      <c r="B352" s="9" t="s">
        <v>6</v>
      </c>
      <c r="C352" s="9" t="s">
        <v>28</v>
      </c>
      <c r="D352" s="9" t="s">
        <v>33</v>
      </c>
      <c r="E352" s="9">
        <v>58.922222147235097</v>
      </c>
      <c r="F352" s="9">
        <v>817.79073679558701</v>
      </c>
      <c r="G352" s="9">
        <f>DATOS!$E352*DATOS!$F352</f>
        <v>48186.047463420648</v>
      </c>
    </row>
    <row r="353" spans="1:7" x14ac:dyDescent="0.3">
      <c r="A353" s="10">
        <v>41234</v>
      </c>
      <c r="B353" s="9" t="s">
        <v>6</v>
      </c>
      <c r="C353" s="9" t="s">
        <v>29</v>
      </c>
      <c r="D353" s="9" t="s">
        <v>32</v>
      </c>
      <c r="E353" s="9">
        <v>58.963361186035698</v>
      </c>
      <c r="F353" s="9">
        <v>817.64426077608096</v>
      </c>
      <c r="G353" s="9">
        <f>DATOS!$E353*DATOS!$F353</f>
        <v>48211.053869829222</v>
      </c>
    </row>
    <row r="354" spans="1:7" x14ac:dyDescent="0.3">
      <c r="A354" s="10">
        <v>40734</v>
      </c>
      <c r="B354" s="9" t="s">
        <v>6</v>
      </c>
      <c r="C354" s="9" t="s">
        <v>24</v>
      </c>
      <c r="D354" s="9" t="s">
        <v>32</v>
      </c>
      <c r="E354" s="9">
        <v>59.004500224836299</v>
      </c>
      <c r="F354" s="9">
        <v>817.49778475657604</v>
      </c>
      <c r="G354" s="9">
        <f>DATOS!$E354*DATOS!$F354</f>
        <v>48236.048224472564</v>
      </c>
    </row>
    <row r="355" spans="1:7" x14ac:dyDescent="0.3">
      <c r="A355" s="10">
        <v>40682</v>
      </c>
      <c r="B355" s="9" t="s">
        <v>6</v>
      </c>
      <c r="C355" s="9" t="s">
        <v>24</v>
      </c>
      <c r="D355" s="9" t="s">
        <v>32</v>
      </c>
      <c r="E355" s="9">
        <v>59.045639263636801</v>
      </c>
      <c r="F355" s="9">
        <v>817.35130873706998</v>
      </c>
      <c r="G355" s="9">
        <f>DATOS!$E355*DATOS!$F355</f>
        <v>48261.030527350464</v>
      </c>
    </row>
    <row r="356" spans="1:7" x14ac:dyDescent="0.3">
      <c r="A356" s="10">
        <v>41299</v>
      </c>
      <c r="B356" s="9" t="s">
        <v>6</v>
      </c>
      <c r="C356" s="9" t="s">
        <v>27</v>
      </c>
      <c r="D356" s="9" t="s">
        <v>32</v>
      </c>
      <c r="E356" s="9">
        <v>59.086778302437402</v>
      </c>
      <c r="F356" s="9">
        <v>817.20483271756495</v>
      </c>
      <c r="G356" s="9">
        <f>DATOS!$E356*DATOS!$F356</f>
        <v>48286.000778463203</v>
      </c>
    </row>
    <row r="357" spans="1:7" x14ac:dyDescent="0.3">
      <c r="A357" s="10">
        <v>41290</v>
      </c>
      <c r="B357" s="9" t="s">
        <v>6</v>
      </c>
      <c r="C357" s="9" t="s">
        <v>24</v>
      </c>
      <c r="D357" s="9" t="s">
        <v>32</v>
      </c>
      <c r="E357" s="9">
        <v>59.127917341238003</v>
      </c>
      <c r="F357" s="9">
        <v>817.05835669805901</v>
      </c>
      <c r="G357" s="9">
        <f>DATOS!$E357*DATOS!$F357</f>
        <v>48310.958977810587</v>
      </c>
    </row>
    <row r="358" spans="1:7" x14ac:dyDescent="0.3">
      <c r="A358" s="10">
        <v>40900</v>
      </c>
      <c r="B358" s="9" t="s">
        <v>6</v>
      </c>
      <c r="C358" s="9" t="s">
        <v>29</v>
      </c>
      <c r="D358" s="9" t="s">
        <v>33</v>
      </c>
      <c r="E358" s="9">
        <v>59.169056380038498</v>
      </c>
      <c r="F358" s="9">
        <v>816.91188067855296</v>
      </c>
      <c r="G358" s="9">
        <f>DATOS!$E358*DATOS!$F358</f>
        <v>48335.905125392579</v>
      </c>
    </row>
    <row r="359" spans="1:7" x14ac:dyDescent="0.3">
      <c r="A359" s="10">
        <v>40789</v>
      </c>
      <c r="B359" s="9" t="s">
        <v>6</v>
      </c>
      <c r="C359" s="9" t="s">
        <v>26</v>
      </c>
      <c r="D359" s="9" t="s">
        <v>32</v>
      </c>
      <c r="E359" s="9">
        <v>59.210195418839099</v>
      </c>
      <c r="F359" s="9">
        <v>816.76540465904702</v>
      </c>
      <c r="G359" s="9">
        <f>DATOS!$E359*DATOS!$F359</f>
        <v>48360.839221209368</v>
      </c>
    </row>
    <row r="360" spans="1:7" x14ac:dyDescent="0.3">
      <c r="A360" s="10">
        <v>41382</v>
      </c>
      <c r="B360" s="9" t="s">
        <v>6</v>
      </c>
      <c r="C360" s="9" t="s">
        <v>27</v>
      </c>
      <c r="D360" s="9" t="s">
        <v>33</v>
      </c>
      <c r="E360" s="9">
        <v>59.2513344576397</v>
      </c>
      <c r="F360" s="9">
        <v>816.61892863954199</v>
      </c>
      <c r="G360" s="9">
        <f>DATOS!$E360*DATOS!$F360</f>
        <v>48385.76126526091</v>
      </c>
    </row>
    <row r="361" spans="1:7" x14ac:dyDescent="0.3">
      <c r="A361" s="10">
        <v>40497</v>
      </c>
      <c r="B361" s="9" t="s">
        <v>6</v>
      </c>
      <c r="C361" s="9" t="s">
        <v>26</v>
      </c>
      <c r="D361" s="9" t="s">
        <v>30</v>
      </c>
      <c r="E361" s="9">
        <v>59.292473496440202</v>
      </c>
      <c r="F361" s="9">
        <v>816.47245262003605</v>
      </c>
      <c r="G361" s="9">
        <f>DATOS!$E361*DATOS!$F361</f>
        <v>48410.671257547016</v>
      </c>
    </row>
    <row r="362" spans="1:7" x14ac:dyDescent="0.3">
      <c r="A362" s="10">
        <v>41098</v>
      </c>
      <c r="B362" s="9" t="s">
        <v>6</v>
      </c>
      <c r="C362" s="9" t="s">
        <v>28</v>
      </c>
      <c r="D362" s="9" t="s">
        <v>37</v>
      </c>
      <c r="E362" s="9">
        <v>59.333612535240803</v>
      </c>
      <c r="F362" s="9">
        <v>816.32597660053102</v>
      </c>
      <c r="G362" s="9">
        <f>DATOS!$E362*DATOS!$F362</f>
        <v>48435.569198067955</v>
      </c>
    </row>
    <row r="363" spans="1:7" x14ac:dyDescent="0.3">
      <c r="A363" s="10">
        <v>41739</v>
      </c>
      <c r="B363" s="9" t="s">
        <v>6</v>
      </c>
      <c r="C363" s="9" t="s">
        <v>28</v>
      </c>
      <c r="D363" s="9" t="s">
        <v>33</v>
      </c>
      <c r="E363" s="9">
        <v>59.374751574041397</v>
      </c>
      <c r="F363" s="9">
        <v>816.17950058102497</v>
      </c>
      <c r="G363" s="9">
        <f>DATOS!$E363*DATOS!$F363</f>
        <v>48460.455086823531</v>
      </c>
    </row>
    <row r="364" spans="1:7" x14ac:dyDescent="0.3">
      <c r="A364" s="10">
        <v>41834</v>
      </c>
      <c r="B364" s="9" t="s">
        <v>6</v>
      </c>
      <c r="C364" s="9" t="s">
        <v>28</v>
      </c>
      <c r="D364" s="9" t="s">
        <v>37</v>
      </c>
      <c r="E364" s="9">
        <v>59.415890612841899</v>
      </c>
      <c r="F364" s="9">
        <v>816.03302456151903</v>
      </c>
      <c r="G364" s="9">
        <f>DATOS!$E364*DATOS!$F364</f>
        <v>48485.328923813744</v>
      </c>
    </row>
    <row r="365" spans="1:7" x14ac:dyDescent="0.3">
      <c r="A365" s="10">
        <v>40498</v>
      </c>
      <c r="B365" s="9" t="s">
        <v>6</v>
      </c>
      <c r="C365" s="9" t="s">
        <v>29</v>
      </c>
      <c r="D365" s="9" t="s">
        <v>31</v>
      </c>
      <c r="E365" s="9">
        <v>59.4570296516425</v>
      </c>
      <c r="F365" s="9">
        <v>815.88654854202105</v>
      </c>
      <c r="G365" s="9">
        <f>DATOS!$E365*DATOS!$F365</f>
        <v>48510.190709039205</v>
      </c>
    </row>
    <row r="366" spans="1:7" x14ac:dyDescent="0.3">
      <c r="A366" s="10">
        <v>40651</v>
      </c>
      <c r="B366" s="9" t="s">
        <v>6</v>
      </c>
      <c r="C366" s="9" t="s">
        <v>29</v>
      </c>
      <c r="D366" s="9" t="s">
        <v>31</v>
      </c>
      <c r="E366" s="9">
        <v>59.498168690443102</v>
      </c>
      <c r="F366" s="9">
        <v>815.74007252250794</v>
      </c>
      <c r="G366" s="9">
        <f>DATOS!$E366*DATOS!$F366</f>
        <v>48535.040442498466</v>
      </c>
    </row>
    <row r="367" spans="1:7" x14ac:dyDescent="0.3">
      <c r="A367" s="10">
        <v>41861</v>
      </c>
      <c r="B367" s="9" t="s">
        <v>6</v>
      </c>
      <c r="C367" s="9" t="s">
        <v>24</v>
      </c>
      <c r="D367" s="9" t="s">
        <v>32</v>
      </c>
      <c r="E367" s="9">
        <v>59.539307729243603</v>
      </c>
      <c r="F367" s="9">
        <v>815.593596503002</v>
      </c>
      <c r="G367" s="9">
        <f>DATOS!$E367*DATOS!$F367</f>
        <v>48559.878124192779</v>
      </c>
    </row>
    <row r="368" spans="1:7" x14ac:dyDescent="0.3">
      <c r="A368" s="10">
        <v>41017</v>
      </c>
      <c r="B368" s="9" t="s">
        <v>6</v>
      </c>
      <c r="C368" s="9" t="s">
        <v>28</v>
      </c>
      <c r="D368" s="9" t="s">
        <v>32</v>
      </c>
      <c r="E368" s="9">
        <v>59.580446768044197</v>
      </c>
      <c r="F368" s="9">
        <v>815.44712048349697</v>
      </c>
      <c r="G368" s="9">
        <f>DATOS!$E368*DATOS!$F368</f>
        <v>48584.703754121918</v>
      </c>
    </row>
    <row r="369" spans="1:7" x14ac:dyDescent="0.3">
      <c r="A369" s="10">
        <v>41502</v>
      </c>
      <c r="B369" s="9" t="s">
        <v>6</v>
      </c>
      <c r="C369" s="9" t="s">
        <v>28</v>
      </c>
      <c r="D369" s="9" t="s">
        <v>37</v>
      </c>
      <c r="E369" s="9">
        <v>59.621585806844799</v>
      </c>
      <c r="F369" s="9">
        <v>815.30064446399103</v>
      </c>
      <c r="G369" s="9">
        <f>DATOS!$E369*DATOS!$F369</f>
        <v>48609.517332285708</v>
      </c>
    </row>
    <row r="370" spans="1:7" x14ac:dyDescent="0.3">
      <c r="A370" s="10">
        <v>41158</v>
      </c>
      <c r="B370" s="9" t="s">
        <v>6</v>
      </c>
      <c r="C370" s="9" t="s">
        <v>24</v>
      </c>
      <c r="D370" s="9" t="s">
        <v>31</v>
      </c>
      <c r="E370" s="9">
        <v>59.6627248456453</v>
      </c>
      <c r="F370" s="9">
        <v>815.154168444486</v>
      </c>
      <c r="G370" s="9">
        <f>DATOS!$E370*DATOS!$F370</f>
        <v>48634.318858684172</v>
      </c>
    </row>
    <row r="371" spans="1:7" x14ac:dyDescent="0.3">
      <c r="A371" s="10">
        <v>40482</v>
      </c>
      <c r="B371" s="9" t="s">
        <v>6</v>
      </c>
      <c r="C371" s="9" t="s">
        <v>27</v>
      </c>
      <c r="D371" s="9" t="s">
        <v>33</v>
      </c>
      <c r="E371" s="9">
        <v>59.703863884445902</v>
      </c>
      <c r="F371" s="9">
        <v>815.00769242497995</v>
      </c>
      <c r="G371" s="9">
        <f>DATOS!$E371*DATOS!$F371</f>
        <v>48659.108333317352</v>
      </c>
    </row>
    <row r="372" spans="1:7" x14ac:dyDescent="0.3">
      <c r="A372" s="10">
        <v>41012</v>
      </c>
      <c r="B372" s="9" t="s">
        <v>6</v>
      </c>
      <c r="C372" s="9" t="s">
        <v>27</v>
      </c>
      <c r="D372" s="9" t="s">
        <v>31</v>
      </c>
      <c r="E372" s="9">
        <v>59.745002923246503</v>
      </c>
      <c r="F372" s="9">
        <v>814.86121640547401</v>
      </c>
      <c r="G372" s="9">
        <f>DATOS!$E372*DATOS!$F372</f>
        <v>48683.885756185249</v>
      </c>
    </row>
    <row r="373" spans="1:7" x14ac:dyDescent="0.3">
      <c r="A373" s="10">
        <v>40891</v>
      </c>
      <c r="B373" s="9" t="s">
        <v>6</v>
      </c>
      <c r="C373" s="9" t="s">
        <v>27</v>
      </c>
      <c r="D373" s="9" t="s">
        <v>32</v>
      </c>
      <c r="E373" s="9">
        <v>59.786141962046997</v>
      </c>
      <c r="F373" s="9">
        <v>814.71474038596898</v>
      </c>
      <c r="G373" s="9">
        <f>DATOS!$E373*DATOS!$F373</f>
        <v>48708.651127287805</v>
      </c>
    </row>
    <row r="374" spans="1:7" x14ac:dyDescent="0.3">
      <c r="A374" s="10">
        <v>40995</v>
      </c>
      <c r="B374" s="9" t="s">
        <v>6</v>
      </c>
      <c r="C374" s="9" t="s">
        <v>28</v>
      </c>
      <c r="D374" s="9" t="s">
        <v>30</v>
      </c>
      <c r="E374" s="9">
        <v>59.827281000847599</v>
      </c>
      <c r="F374" s="9">
        <v>814.56826436646304</v>
      </c>
      <c r="G374" s="9">
        <f>DATOS!$E374*DATOS!$F374</f>
        <v>48733.4044466251</v>
      </c>
    </row>
    <row r="375" spans="1:7" x14ac:dyDescent="0.3">
      <c r="A375" s="10">
        <v>41717</v>
      </c>
      <c r="B375" s="9" t="s">
        <v>7</v>
      </c>
      <c r="C375" s="9" t="s">
        <v>25</v>
      </c>
      <c r="D375" s="9" t="s">
        <v>32</v>
      </c>
      <c r="E375" s="9">
        <v>59.8684200396482</v>
      </c>
      <c r="F375" s="9">
        <v>814.42178834695699</v>
      </c>
      <c r="G375" s="9">
        <f>DATOS!$E375*DATOS!$F375</f>
        <v>48758.145714197082</v>
      </c>
    </row>
    <row r="376" spans="1:7" x14ac:dyDescent="0.3">
      <c r="A376" s="10">
        <v>41175</v>
      </c>
      <c r="B376" s="9" t="s">
        <v>7</v>
      </c>
      <c r="C376" s="9" t="s">
        <v>26</v>
      </c>
      <c r="D376" s="9" t="s">
        <v>33</v>
      </c>
      <c r="E376" s="9">
        <v>59.909559078448702</v>
      </c>
      <c r="F376" s="9">
        <v>814.27531232745196</v>
      </c>
      <c r="G376" s="9">
        <f>DATOS!$E376*DATOS!$F376</f>
        <v>48782.874930003753</v>
      </c>
    </row>
    <row r="377" spans="1:7" x14ac:dyDescent="0.3">
      <c r="A377" s="10">
        <v>40385</v>
      </c>
      <c r="B377" s="9" t="s">
        <v>7</v>
      </c>
      <c r="C377" s="9" t="s">
        <v>24</v>
      </c>
      <c r="D377" s="9" t="s">
        <v>37</v>
      </c>
      <c r="E377" s="9">
        <v>59.950698117249303</v>
      </c>
      <c r="F377" s="9">
        <v>814.12883630794602</v>
      </c>
      <c r="G377" s="9">
        <f>DATOS!$E377*DATOS!$F377</f>
        <v>48807.592094045147</v>
      </c>
    </row>
    <row r="378" spans="1:7" x14ac:dyDescent="0.3">
      <c r="A378" s="10">
        <v>41160</v>
      </c>
      <c r="B378" s="9" t="s">
        <v>7</v>
      </c>
      <c r="C378" s="9" t="s">
        <v>29</v>
      </c>
      <c r="D378" s="9" t="s">
        <v>37</v>
      </c>
      <c r="E378" s="9">
        <v>59.991837156049897</v>
      </c>
      <c r="F378" s="9">
        <v>813.98236028843996</v>
      </c>
      <c r="G378" s="9">
        <f>DATOS!$E378*DATOS!$F378</f>
        <v>48832.297206321229</v>
      </c>
    </row>
    <row r="379" spans="1:7" x14ac:dyDescent="0.3">
      <c r="A379" s="10">
        <v>41504</v>
      </c>
      <c r="B379" s="9" t="s">
        <v>7</v>
      </c>
      <c r="C379" s="9" t="s">
        <v>27</v>
      </c>
      <c r="D379" s="9" t="s">
        <v>37</v>
      </c>
      <c r="E379" s="9">
        <v>60.032976194850399</v>
      </c>
      <c r="F379" s="9">
        <v>813.83588426893505</v>
      </c>
      <c r="G379" s="9">
        <f>DATOS!$E379*DATOS!$F379</f>
        <v>48856.990266831999</v>
      </c>
    </row>
    <row r="380" spans="1:7" x14ac:dyDescent="0.3">
      <c r="A380" s="10">
        <v>41874</v>
      </c>
      <c r="B380" s="9" t="s">
        <v>7</v>
      </c>
      <c r="C380" s="9" t="s">
        <v>28</v>
      </c>
      <c r="D380" s="9" t="s">
        <v>32</v>
      </c>
      <c r="E380" s="9">
        <v>60.074115233651</v>
      </c>
      <c r="F380" s="9">
        <v>813.68940824942899</v>
      </c>
      <c r="G380" s="9">
        <f>DATOS!$E380*DATOS!$F380</f>
        <v>48881.671275577493</v>
      </c>
    </row>
    <row r="381" spans="1:7" x14ac:dyDescent="0.3">
      <c r="A381" s="10">
        <v>41005</v>
      </c>
      <c r="B381" s="9" t="s">
        <v>7</v>
      </c>
      <c r="C381" s="9" t="s">
        <v>29</v>
      </c>
      <c r="D381" s="9" t="s">
        <v>32</v>
      </c>
      <c r="E381" s="9">
        <v>60.115254272451601</v>
      </c>
      <c r="F381" s="9">
        <v>813.54293222992396</v>
      </c>
      <c r="G381" s="9">
        <f>DATOS!$E381*DATOS!$F381</f>
        <v>48906.340232557741</v>
      </c>
    </row>
    <row r="382" spans="1:7" x14ac:dyDescent="0.3">
      <c r="A382" s="10">
        <v>41178</v>
      </c>
      <c r="B382" s="9" t="s">
        <v>7</v>
      </c>
      <c r="C382" s="9" t="s">
        <v>27</v>
      </c>
      <c r="D382" s="9" t="s">
        <v>33</v>
      </c>
      <c r="E382" s="9">
        <v>60.156393311252103</v>
      </c>
      <c r="F382" s="9">
        <v>813.39645621041802</v>
      </c>
      <c r="G382" s="9">
        <f>DATOS!$E382*DATOS!$F382</f>
        <v>48930.997137772552</v>
      </c>
    </row>
    <row r="383" spans="1:7" x14ac:dyDescent="0.3">
      <c r="A383" s="10">
        <v>41387</v>
      </c>
      <c r="B383" s="9" t="s">
        <v>7</v>
      </c>
      <c r="C383" s="9" t="s">
        <v>27</v>
      </c>
      <c r="D383" s="9" t="s">
        <v>33</v>
      </c>
      <c r="E383" s="9">
        <v>60.197532350052697</v>
      </c>
      <c r="F383" s="9">
        <v>813.24998019091197</v>
      </c>
      <c r="G383" s="9">
        <f>DATOS!$E383*DATOS!$F383</f>
        <v>48955.641991222139</v>
      </c>
    </row>
    <row r="384" spans="1:7" x14ac:dyDescent="0.3">
      <c r="A384" s="10">
        <v>41245</v>
      </c>
      <c r="B384" s="9" t="s">
        <v>7</v>
      </c>
      <c r="C384" s="9" t="s">
        <v>25</v>
      </c>
      <c r="D384" s="9" t="s">
        <v>32</v>
      </c>
      <c r="E384" s="9">
        <v>60.238671388853298</v>
      </c>
      <c r="F384" s="9">
        <v>813.10350417140603</v>
      </c>
      <c r="G384" s="9">
        <f>DATOS!$E384*DATOS!$F384</f>
        <v>48980.274792906435</v>
      </c>
    </row>
    <row r="385" spans="1:7" x14ac:dyDescent="0.3">
      <c r="A385" s="10">
        <v>41008</v>
      </c>
      <c r="B385" s="9" t="s">
        <v>7</v>
      </c>
      <c r="C385" s="9" t="s">
        <v>26</v>
      </c>
      <c r="D385" s="9" t="s">
        <v>31</v>
      </c>
      <c r="E385" s="9">
        <v>60.2798104276538</v>
      </c>
      <c r="F385" s="9">
        <v>812.957028151901</v>
      </c>
      <c r="G385" s="9">
        <f>DATOS!$E385*DATOS!$F385</f>
        <v>49004.895542825405</v>
      </c>
    </row>
    <row r="386" spans="1:7" x14ac:dyDescent="0.3">
      <c r="A386" s="10">
        <v>41718</v>
      </c>
      <c r="B386" s="9" t="s">
        <v>7</v>
      </c>
      <c r="C386" s="9" t="s">
        <v>26</v>
      </c>
      <c r="D386" s="9" t="s">
        <v>32</v>
      </c>
      <c r="E386" s="9">
        <v>60.320949466454401</v>
      </c>
      <c r="F386" s="9">
        <v>812.81055213239495</v>
      </c>
      <c r="G386" s="9">
        <f>DATOS!$E386*DATOS!$F386</f>
        <v>49029.504240979099</v>
      </c>
    </row>
    <row r="387" spans="1:7" x14ac:dyDescent="0.3">
      <c r="A387" s="10">
        <v>40322</v>
      </c>
      <c r="B387" s="9" t="s">
        <v>7</v>
      </c>
      <c r="C387" s="9" t="s">
        <v>25</v>
      </c>
      <c r="D387" s="9" t="s">
        <v>33</v>
      </c>
      <c r="E387" s="9">
        <v>60.362088505255002</v>
      </c>
      <c r="F387" s="9">
        <v>812.66407611289003</v>
      </c>
      <c r="G387" s="9">
        <f>DATOS!$E387*DATOS!$F387</f>
        <v>49054.100887367553</v>
      </c>
    </row>
    <row r="388" spans="1:7" x14ac:dyDescent="0.3">
      <c r="A388" s="10">
        <v>41308</v>
      </c>
      <c r="B388" s="9" t="s">
        <v>7</v>
      </c>
      <c r="C388" s="9" t="s">
        <v>25</v>
      </c>
      <c r="D388" s="9" t="s">
        <v>32</v>
      </c>
      <c r="E388" s="9">
        <v>60.403227544055497</v>
      </c>
      <c r="F388" s="9">
        <v>812.51760009338398</v>
      </c>
      <c r="G388" s="9">
        <f>DATOS!$E388*DATOS!$F388</f>
        <v>49078.685481990557</v>
      </c>
    </row>
    <row r="389" spans="1:7" x14ac:dyDescent="0.3">
      <c r="A389" s="10">
        <v>41435</v>
      </c>
      <c r="B389" s="9" t="s">
        <v>7</v>
      </c>
      <c r="C389" s="9" t="s">
        <v>29</v>
      </c>
      <c r="D389" s="9" t="s">
        <v>30</v>
      </c>
      <c r="E389" s="9">
        <v>60.444366582856098</v>
      </c>
      <c r="F389" s="9">
        <v>812.37112407387804</v>
      </c>
      <c r="G389" s="9">
        <f>DATOS!$E389*DATOS!$F389</f>
        <v>49103.258024848357</v>
      </c>
    </row>
    <row r="390" spans="1:7" x14ac:dyDescent="0.3">
      <c r="A390" s="10">
        <v>41600</v>
      </c>
      <c r="B390" s="9" t="s">
        <v>7</v>
      </c>
      <c r="C390" s="9" t="s">
        <v>29</v>
      </c>
      <c r="D390" s="9" t="s">
        <v>31</v>
      </c>
      <c r="E390" s="9">
        <v>60.485505621656699</v>
      </c>
      <c r="F390" s="9">
        <v>812.22464805437301</v>
      </c>
      <c r="G390" s="9">
        <f>DATOS!$E390*DATOS!$F390</f>
        <v>49127.818515940911</v>
      </c>
    </row>
    <row r="391" spans="1:7" x14ac:dyDescent="0.3">
      <c r="A391" s="10">
        <v>40528</v>
      </c>
      <c r="B391" s="9" t="s">
        <v>7</v>
      </c>
      <c r="C391" s="9" t="s">
        <v>24</v>
      </c>
      <c r="D391" s="9" t="s">
        <v>32</v>
      </c>
      <c r="E391" s="9">
        <v>60.526644660457201</v>
      </c>
      <c r="F391" s="9">
        <v>812.07817203486695</v>
      </c>
      <c r="G391" s="9">
        <f>DATOS!$E391*DATOS!$F391</f>
        <v>49152.366955268022</v>
      </c>
    </row>
    <row r="392" spans="1:7" x14ac:dyDescent="0.3">
      <c r="A392" s="10">
        <v>40192</v>
      </c>
      <c r="B392" s="9" t="s">
        <v>7</v>
      </c>
      <c r="C392" s="9" t="s">
        <v>27</v>
      </c>
      <c r="D392" s="9" t="s">
        <v>31</v>
      </c>
      <c r="E392" s="9">
        <v>60.567783699257802</v>
      </c>
      <c r="F392" s="9">
        <v>811.93169601536101</v>
      </c>
      <c r="G392" s="9">
        <f>DATOS!$E392*DATOS!$F392</f>
        <v>49176.903342829923</v>
      </c>
    </row>
    <row r="393" spans="1:7" x14ac:dyDescent="0.3">
      <c r="A393" s="10">
        <v>41874</v>
      </c>
      <c r="B393" s="9" t="s">
        <v>7</v>
      </c>
      <c r="C393" s="9" t="s">
        <v>24</v>
      </c>
      <c r="D393" s="9" t="s">
        <v>31</v>
      </c>
      <c r="E393" s="9">
        <v>60.608922738058403</v>
      </c>
      <c r="F393" s="9">
        <v>811.78521999585598</v>
      </c>
      <c r="G393" s="9">
        <f>DATOS!$E393*DATOS!$F393</f>
        <v>49201.427678626576</v>
      </c>
    </row>
    <row r="394" spans="1:7" x14ac:dyDescent="0.3">
      <c r="A394" s="10">
        <v>40757</v>
      </c>
      <c r="B394" s="9" t="s">
        <v>7</v>
      </c>
      <c r="C394" s="9" t="s">
        <v>29</v>
      </c>
      <c r="D394" s="9" t="s">
        <v>33</v>
      </c>
      <c r="E394" s="9">
        <v>60.650061776858898</v>
      </c>
      <c r="F394" s="9">
        <v>811.63874397635004</v>
      </c>
      <c r="G394" s="9">
        <f>DATOS!$E394*DATOS!$F394</f>
        <v>49225.939962657794</v>
      </c>
    </row>
    <row r="395" spans="1:7" x14ac:dyDescent="0.3">
      <c r="A395" s="10">
        <v>41295</v>
      </c>
      <c r="B395" s="9" t="s">
        <v>7</v>
      </c>
      <c r="C395" s="9" t="s">
        <v>28</v>
      </c>
      <c r="D395" s="9" t="s">
        <v>30</v>
      </c>
      <c r="E395" s="9">
        <v>60.691200815659499</v>
      </c>
      <c r="F395" s="9">
        <v>811.49226795684501</v>
      </c>
      <c r="G395" s="9">
        <f>DATOS!$E395*DATOS!$F395</f>
        <v>49250.440194923845</v>
      </c>
    </row>
    <row r="396" spans="1:7" x14ac:dyDescent="0.3">
      <c r="A396" s="10">
        <v>41081</v>
      </c>
      <c r="B396" s="9" t="s">
        <v>7</v>
      </c>
      <c r="C396" s="9" t="s">
        <v>24</v>
      </c>
      <c r="D396" s="9" t="s">
        <v>32</v>
      </c>
      <c r="E396" s="9">
        <v>60.732339854460101</v>
      </c>
      <c r="F396" s="9">
        <v>811.34579193733896</v>
      </c>
      <c r="G396" s="9">
        <f>DATOS!$E396*DATOS!$F396</f>
        <v>49274.928375424541</v>
      </c>
    </row>
    <row r="397" spans="1:7" x14ac:dyDescent="0.3">
      <c r="A397" s="10">
        <v>40758</v>
      </c>
      <c r="B397" s="9" t="s">
        <v>7</v>
      </c>
      <c r="C397" s="9" t="s">
        <v>26</v>
      </c>
      <c r="D397" s="9" t="s">
        <v>32</v>
      </c>
      <c r="E397" s="9">
        <v>60.773478893260602</v>
      </c>
      <c r="F397" s="9">
        <v>811.19931591783302</v>
      </c>
      <c r="G397" s="9">
        <f>DATOS!$E397*DATOS!$F397</f>
        <v>49299.404504159866</v>
      </c>
    </row>
    <row r="398" spans="1:7" x14ac:dyDescent="0.3">
      <c r="A398" s="10">
        <v>40269</v>
      </c>
      <c r="B398" s="9" t="s">
        <v>7</v>
      </c>
      <c r="C398" s="9" t="s">
        <v>24</v>
      </c>
      <c r="D398" s="9" t="s">
        <v>32</v>
      </c>
      <c r="E398" s="9">
        <v>60.814617932061203</v>
      </c>
      <c r="F398" s="9">
        <v>811.05283989832799</v>
      </c>
      <c r="G398" s="9">
        <f>DATOS!$E398*DATOS!$F398</f>
        <v>49323.868581130024</v>
      </c>
    </row>
    <row r="399" spans="1:7" x14ac:dyDescent="0.3">
      <c r="A399" s="10">
        <v>40676</v>
      </c>
      <c r="B399" s="9" t="s">
        <v>7</v>
      </c>
      <c r="C399" s="9" t="s">
        <v>28</v>
      </c>
      <c r="D399" s="9" t="s">
        <v>32</v>
      </c>
      <c r="E399" s="9">
        <v>60.855756970861798</v>
      </c>
      <c r="F399" s="9">
        <v>810.90636387882205</v>
      </c>
      <c r="G399" s="9">
        <f>DATOS!$E399*DATOS!$F399</f>
        <v>49348.320606334819</v>
      </c>
    </row>
    <row r="400" spans="1:7" x14ac:dyDescent="0.3">
      <c r="A400" s="10">
        <v>41163</v>
      </c>
      <c r="B400" s="9" t="s">
        <v>7</v>
      </c>
      <c r="C400" s="9" t="s">
        <v>24</v>
      </c>
      <c r="D400" s="9" t="s">
        <v>32</v>
      </c>
      <c r="E400" s="9">
        <v>60.896896009662299</v>
      </c>
      <c r="F400" s="9">
        <v>810.759887859316</v>
      </c>
      <c r="G400" s="9">
        <f>DATOS!$E400*DATOS!$F400</f>
        <v>49372.760579774236</v>
      </c>
    </row>
    <row r="401" spans="1:7" x14ac:dyDescent="0.3">
      <c r="A401" s="10">
        <v>40753</v>
      </c>
      <c r="B401" s="9" t="s">
        <v>7</v>
      </c>
      <c r="C401" s="9" t="s">
        <v>28</v>
      </c>
      <c r="D401" s="9" t="s">
        <v>30</v>
      </c>
      <c r="E401" s="9">
        <v>60.938035048462901</v>
      </c>
      <c r="F401" s="9">
        <v>810.61341183981096</v>
      </c>
      <c r="G401" s="9">
        <f>DATOS!$E401*DATOS!$F401</f>
        <v>49397.188501448494</v>
      </c>
    </row>
    <row r="402" spans="1:7" x14ac:dyDescent="0.3">
      <c r="A402" s="10">
        <v>41998</v>
      </c>
      <c r="B402" s="9" t="s">
        <v>7</v>
      </c>
      <c r="C402" s="9" t="s">
        <v>26</v>
      </c>
      <c r="D402" s="9" t="s">
        <v>33</v>
      </c>
      <c r="E402" s="9">
        <v>60.979174087263502</v>
      </c>
      <c r="F402" s="9">
        <v>810.46693582030503</v>
      </c>
      <c r="G402" s="9">
        <f>DATOS!$E402*DATOS!$F402</f>
        <v>49421.604371357396</v>
      </c>
    </row>
    <row r="403" spans="1:7" x14ac:dyDescent="0.3">
      <c r="A403" s="10">
        <v>40730</v>
      </c>
      <c r="B403" s="9" t="s">
        <v>7</v>
      </c>
      <c r="C403" s="9" t="s">
        <v>29</v>
      </c>
      <c r="D403" s="9" t="s">
        <v>33</v>
      </c>
      <c r="E403" s="9">
        <v>61.020313126064003</v>
      </c>
      <c r="F403" s="9">
        <v>810.32045980079897</v>
      </c>
      <c r="G403" s="9">
        <f>DATOS!$E403*DATOS!$F403</f>
        <v>49446.008189500913</v>
      </c>
    </row>
    <row r="404" spans="1:7" x14ac:dyDescent="0.3">
      <c r="A404" s="10">
        <v>41802</v>
      </c>
      <c r="B404" s="9" t="s">
        <v>7</v>
      </c>
      <c r="C404" s="9" t="s">
        <v>26</v>
      </c>
      <c r="D404" s="9" t="s">
        <v>32</v>
      </c>
      <c r="E404" s="9">
        <v>61.061452164864598</v>
      </c>
      <c r="F404" s="9">
        <v>810.17398378129406</v>
      </c>
      <c r="G404" s="9">
        <f>DATOS!$E404*DATOS!$F404</f>
        <v>49470.399955879271</v>
      </c>
    </row>
    <row r="405" spans="1:7" x14ac:dyDescent="0.3">
      <c r="A405" s="10">
        <v>41350</v>
      </c>
      <c r="B405" s="9" t="s">
        <v>7</v>
      </c>
      <c r="C405" s="9" t="s">
        <v>25</v>
      </c>
      <c r="D405" s="9" t="s">
        <v>32</v>
      </c>
      <c r="E405" s="9">
        <v>61.102591203665199</v>
      </c>
      <c r="F405" s="9">
        <v>810.027507761788</v>
      </c>
      <c r="G405" s="9">
        <f>DATOS!$E405*DATOS!$F405</f>
        <v>49494.779670492273</v>
      </c>
    </row>
    <row r="406" spans="1:7" x14ac:dyDescent="0.3">
      <c r="A406" s="10">
        <v>40948</v>
      </c>
      <c r="B406" s="9" t="s">
        <v>7</v>
      </c>
      <c r="C406" s="9" t="s">
        <v>24</v>
      </c>
      <c r="D406" s="9" t="s">
        <v>31</v>
      </c>
      <c r="E406" s="9">
        <v>61.143730242465701</v>
      </c>
      <c r="F406" s="9">
        <v>809.88103174228297</v>
      </c>
      <c r="G406" s="9">
        <f>DATOS!$E406*DATOS!$F406</f>
        <v>49519.147333339948</v>
      </c>
    </row>
    <row r="407" spans="1:7" x14ac:dyDescent="0.3">
      <c r="A407" s="10">
        <v>41411</v>
      </c>
      <c r="B407" s="9" t="s">
        <v>7</v>
      </c>
      <c r="C407" s="9" t="s">
        <v>29</v>
      </c>
      <c r="D407" s="9" t="s">
        <v>31</v>
      </c>
      <c r="E407" s="9">
        <v>61.184869281266302</v>
      </c>
      <c r="F407" s="9">
        <v>809.73455572277703</v>
      </c>
      <c r="G407" s="9">
        <f>DATOS!$E407*DATOS!$F407</f>
        <v>49543.502944422355</v>
      </c>
    </row>
    <row r="408" spans="1:7" x14ac:dyDescent="0.3">
      <c r="A408" s="10">
        <v>41319</v>
      </c>
      <c r="B408" s="9" t="s">
        <v>7</v>
      </c>
      <c r="C408" s="9" t="s">
        <v>28</v>
      </c>
      <c r="D408" s="9" t="s">
        <v>37</v>
      </c>
      <c r="E408" s="9">
        <v>61.226008320066903</v>
      </c>
      <c r="F408" s="9">
        <v>809.58807970327098</v>
      </c>
      <c r="G408" s="9">
        <f>DATOS!$E408*DATOS!$F408</f>
        <v>49567.846503739456</v>
      </c>
    </row>
    <row r="409" spans="1:7" x14ac:dyDescent="0.3">
      <c r="A409" s="10">
        <v>40319</v>
      </c>
      <c r="B409" s="9" t="s">
        <v>7</v>
      </c>
      <c r="C409" s="9" t="s">
        <v>28</v>
      </c>
      <c r="D409" s="9" t="s">
        <v>31</v>
      </c>
      <c r="E409" s="9">
        <v>61.267147358867398</v>
      </c>
      <c r="F409" s="9">
        <v>809.44160368376595</v>
      </c>
      <c r="G409" s="9">
        <f>DATOS!$E409*DATOS!$F409</f>
        <v>49592.178011291231</v>
      </c>
    </row>
    <row r="410" spans="1:7" x14ac:dyDescent="0.3">
      <c r="A410" s="10">
        <v>41485</v>
      </c>
      <c r="B410" s="9" t="s">
        <v>7</v>
      </c>
      <c r="C410" s="9" t="s">
        <v>25</v>
      </c>
      <c r="D410" s="9" t="s">
        <v>30</v>
      </c>
      <c r="E410" s="9">
        <v>61.308286397667999</v>
      </c>
      <c r="F410" s="9">
        <v>809.29512766426001</v>
      </c>
      <c r="G410" s="9">
        <f>DATOS!$E410*DATOS!$F410</f>
        <v>49616.497467077737</v>
      </c>
    </row>
    <row r="411" spans="1:7" x14ac:dyDescent="0.3">
      <c r="A411" s="10">
        <v>40432</v>
      </c>
      <c r="B411" s="9" t="s">
        <v>7</v>
      </c>
      <c r="C411" s="9" t="s">
        <v>29</v>
      </c>
      <c r="D411" s="9" t="s">
        <v>31</v>
      </c>
      <c r="E411" s="9">
        <v>61.3494254364686</v>
      </c>
      <c r="F411" s="9">
        <v>809.14865164475395</v>
      </c>
      <c r="G411" s="9">
        <f>DATOS!$E411*DATOS!$F411</f>
        <v>49640.804871098939</v>
      </c>
    </row>
    <row r="412" spans="1:7" x14ac:dyDescent="0.3">
      <c r="A412" s="10">
        <v>40612</v>
      </c>
      <c r="B412" s="9" t="s">
        <v>7</v>
      </c>
      <c r="C412" s="9" t="s">
        <v>27</v>
      </c>
      <c r="D412" s="9" t="s">
        <v>33</v>
      </c>
      <c r="E412" s="9">
        <v>61.390564475269102</v>
      </c>
      <c r="F412" s="9">
        <v>809.00217562524904</v>
      </c>
      <c r="G412" s="9">
        <f>DATOS!$E412*DATOS!$F412</f>
        <v>49665.100223354828</v>
      </c>
    </row>
    <row r="413" spans="1:7" x14ac:dyDescent="0.3">
      <c r="A413" s="10">
        <v>41481</v>
      </c>
      <c r="B413" s="9" t="s">
        <v>7</v>
      </c>
      <c r="C413" s="9" t="s">
        <v>24</v>
      </c>
      <c r="D413" s="9" t="s">
        <v>32</v>
      </c>
      <c r="E413" s="9">
        <v>61.431703514069703</v>
      </c>
      <c r="F413" s="9">
        <v>808.85569960574298</v>
      </c>
      <c r="G413" s="9">
        <f>DATOS!$E413*DATOS!$F413</f>
        <v>49689.383523845427</v>
      </c>
    </row>
    <row r="414" spans="1:7" x14ac:dyDescent="0.3">
      <c r="A414" s="10">
        <v>40842</v>
      </c>
      <c r="B414" s="9" t="s">
        <v>7</v>
      </c>
      <c r="C414" s="9" t="s">
        <v>24</v>
      </c>
      <c r="D414" s="9" t="s">
        <v>32</v>
      </c>
      <c r="E414" s="9">
        <v>61.472842552870297</v>
      </c>
      <c r="F414" s="9">
        <v>808.70922358623704</v>
      </c>
      <c r="G414" s="9">
        <f>DATOS!$E414*DATOS!$F414</f>
        <v>49713.654772570735</v>
      </c>
    </row>
    <row r="415" spans="1:7" x14ac:dyDescent="0.3">
      <c r="A415" s="10">
        <v>41870</v>
      </c>
      <c r="B415" s="9" t="s">
        <v>7</v>
      </c>
      <c r="C415" s="9" t="s">
        <v>27</v>
      </c>
      <c r="D415" s="9" t="s">
        <v>31</v>
      </c>
      <c r="E415" s="9">
        <v>61.513981591670799</v>
      </c>
      <c r="F415" s="9">
        <v>808.56274756673201</v>
      </c>
      <c r="G415" s="9">
        <f>DATOS!$E415*DATOS!$F415</f>
        <v>49737.913969530717</v>
      </c>
    </row>
    <row r="416" spans="1:7" x14ac:dyDescent="0.3">
      <c r="A416" s="10">
        <v>41888</v>
      </c>
      <c r="B416" s="9" t="s">
        <v>7</v>
      </c>
      <c r="C416" s="9" t="s">
        <v>29</v>
      </c>
      <c r="D416" s="9" t="s">
        <v>31</v>
      </c>
      <c r="E416" s="9">
        <v>61.5551206304714</v>
      </c>
      <c r="F416" s="9">
        <v>808.41627154722596</v>
      </c>
      <c r="G416" s="9">
        <f>DATOS!$E416*DATOS!$F416</f>
        <v>49762.161114725415</v>
      </c>
    </row>
    <row r="417" spans="1:7" x14ac:dyDescent="0.3">
      <c r="A417" s="10">
        <v>40984</v>
      </c>
      <c r="B417" s="9" t="s">
        <v>7</v>
      </c>
      <c r="C417" s="9" t="s">
        <v>25</v>
      </c>
      <c r="D417" s="9" t="s">
        <v>31</v>
      </c>
      <c r="E417" s="9">
        <v>61.596259669272001</v>
      </c>
      <c r="F417" s="9">
        <v>808.26979552772002</v>
      </c>
      <c r="G417" s="9">
        <f>DATOS!$E417*DATOS!$F417</f>
        <v>49786.396208154831</v>
      </c>
    </row>
    <row r="418" spans="1:7" x14ac:dyDescent="0.3">
      <c r="A418" s="10">
        <v>41848</v>
      </c>
      <c r="B418" s="9" t="s">
        <v>7</v>
      </c>
      <c r="C418" s="9" t="s">
        <v>27</v>
      </c>
      <c r="D418" s="9" t="s">
        <v>37</v>
      </c>
      <c r="E418" s="9">
        <v>61.637398708072503</v>
      </c>
      <c r="F418" s="9">
        <v>808.12331950821499</v>
      </c>
      <c r="G418" s="9">
        <f>DATOS!$E418*DATOS!$F418</f>
        <v>49810.619249818912</v>
      </c>
    </row>
    <row r="419" spans="1:7" x14ac:dyDescent="0.3">
      <c r="A419" s="10">
        <v>41153</v>
      </c>
      <c r="B419" s="9" t="s">
        <v>7</v>
      </c>
      <c r="C419" s="9" t="s">
        <v>28</v>
      </c>
      <c r="D419" s="9" t="s">
        <v>33</v>
      </c>
      <c r="E419" s="9">
        <v>61.678537746873097</v>
      </c>
      <c r="F419" s="9">
        <v>807.97684348870905</v>
      </c>
      <c r="G419" s="9">
        <f>DATOS!$E419*DATOS!$F419</f>
        <v>49834.830239717718</v>
      </c>
    </row>
    <row r="420" spans="1:7" x14ac:dyDescent="0.3">
      <c r="A420" s="10">
        <v>40532</v>
      </c>
      <c r="B420" s="9" t="s">
        <v>7</v>
      </c>
      <c r="C420" s="9" t="s">
        <v>25</v>
      </c>
      <c r="D420" s="9" t="s">
        <v>31</v>
      </c>
      <c r="E420" s="9">
        <v>61.719676785673698</v>
      </c>
      <c r="F420" s="9">
        <v>807.83036746920402</v>
      </c>
      <c r="G420" s="9">
        <f>DATOS!$E420*DATOS!$F420</f>
        <v>49859.029177851284</v>
      </c>
    </row>
    <row r="421" spans="1:7" x14ac:dyDescent="0.3">
      <c r="A421" s="10">
        <v>40701</v>
      </c>
      <c r="B421" s="9" t="s">
        <v>7</v>
      </c>
      <c r="C421" s="9" t="s">
        <v>26</v>
      </c>
      <c r="D421" s="9" t="s">
        <v>31</v>
      </c>
      <c r="E421" s="9">
        <v>61.7608158244742</v>
      </c>
      <c r="F421" s="9">
        <v>807.68389144969797</v>
      </c>
      <c r="G421" s="9">
        <f>DATOS!$E421*DATOS!$F421</f>
        <v>49883.216064219407</v>
      </c>
    </row>
    <row r="422" spans="1:7" x14ac:dyDescent="0.3">
      <c r="A422" s="10">
        <v>41049</v>
      </c>
      <c r="B422" s="9" t="s">
        <v>7</v>
      </c>
      <c r="C422" s="9" t="s">
        <v>29</v>
      </c>
      <c r="D422" s="9" t="s">
        <v>32</v>
      </c>
      <c r="E422" s="9">
        <v>61.801954863274801</v>
      </c>
      <c r="F422" s="9">
        <v>807.53741543019203</v>
      </c>
      <c r="G422" s="9">
        <f>DATOS!$E422*DATOS!$F422</f>
        <v>49907.390898822319</v>
      </c>
    </row>
    <row r="423" spans="1:7" x14ac:dyDescent="0.3">
      <c r="A423" s="10">
        <v>41289</v>
      </c>
      <c r="B423" s="9" t="s">
        <v>7</v>
      </c>
      <c r="C423" s="9" t="s">
        <v>24</v>
      </c>
      <c r="D423" s="9" t="s">
        <v>31</v>
      </c>
      <c r="E423" s="9">
        <v>61.843093902075402</v>
      </c>
      <c r="F423" s="9">
        <v>807.390939410687</v>
      </c>
      <c r="G423" s="9">
        <f>DATOS!$E423*DATOS!$F423</f>
        <v>49931.553681659985</v>
      </c>
    </row>
    <row r="424" spans="1:7" x14ac:dyDescent="0.3">
      <c r="A424" s="10">
        <v>41959</v>
      </c>
      <c r="B424" s="9" t="s">
        <v>7</v>
      </c>
      <c r="C424" s="9" t="s">
        <v>27</v>
      </c>
      <c r="D424" s="9" t="s">
        <v>37</v>
      </c>
      <c r="E424" s="9">
        <v>61.884232940875897</v>
      </c>
      <c r="F424" s="9">
        <v>807.24446339118094</v>
      </c>
      <c r="G424" s="9">
        <f>DATOS!$E424*DATOS!$F424</f>
        <v>49955.704412732208</v>
      </c>
    </row>
    <row r="425" spans="1:7" x14ac:dyDescent="0.3">
      <c r="A425" s="10">
        <v>40802</v>
      </c>
      <c r="B425" s="9" t="s">
        <v>7</v>
      </c>
      <c r="C425" s="9" t="s">
        <v>29</v>
      </c>
      <c r="D425" s="9" t="s">
        <v>32</v>
      </c>
      <c r="E425" s="9">
        <v>61.925371979676498</v>
      </c>
      <c r="F425" s="9">
        <v>807.097987371675</v>
      </c>
      <c r="G425" s="9">
        <f>DATOS!$E425*DATOS!$F425</f>
        <v>49979.84309203922</v>
      </c>
    </row>
    <row r="426" spans="1:7" x14ac:dyDescent="0.3">
      <c r="A426" s="10">
        <v>41404</v>
      </c>
      <c r="B426" s="9" t="s">
        <v>7</v>
      </c>
      <c r="C426" s="9" t="s">
        <v>29</v>
      </c>
      <c r="D426" s="9" t="s">
        <v>37</v>
      </c>
      <c r="E426" s="9">
        <v>61.9665110184771</v>
      </c>
      <c r="F426" s="9">
        <v>806.95151135216997</v>
      </c>
      <c r="G426" s="9">
        <f>DATOS!$E426*DATOS!$F426</f>
        <v>50003.969719580986</v>
      </c>
    </row>
    <row r="427" spans="1:7" x14ac:dyDescent="0.3">
      <c r="A427" s="10">
        <v>40214</v>
      </c>
      <c r="B427" s="9" t="s">
        <v>7</v>
      </c>
      <c r="C427" s="9" t="s">
        <v>28</v>
      </c>
      <c r="D427" s="9" t="s">
        <v>31</v>
      </c>
      <c r="E427" s="9">
        <v>62.007650057277601</v>
      </c>
      <c r="F427" s="9">
        <v>806.80503533266403</v>
      </c>
      <c r="G427" s="9">
        <f>DATOS!$E427*DATOS!$F427</f>
        <v>50028.084295357323</v>
      </c>
    </row>
    <row r="428" spans="1:7" x14ac:dyDescent="0.3">
      <c r="A428" s="10">
        <v>40585</v>
      </c>
      <c r="B428" s="9" t="s">
        <v>7</v>
      </c>
      <c r="C428" s="9" t="s">
        <v>27</v>
      </c>
      <c r="D428" s="9" t="s">
        <v>31</v>
      </c>
      <c r="E428" s="9">
        <v>62.048789096078202</v>
      </c>
      <c r="F428" s="9">
        <v>806.65855931315798</v>
      </c>
      <c r="G428" s="9">
        <f>DATOS!$E428*DATOS!$F428</f>
        <v>50052.186819368428</v>
      </c>
    </row>
    <row r="429" spans="1:7" x14ac:dyDescent="0.3">
      <c r="A429" s="10">
        <v>41658</v>
      </c>
      <c r="B429" s="9" t="s">
        <v>8</v>
      </c>
      <c r="C429" s="9" t="s">
        <v>25</v>
      </c>
      <c r="D429" s="9" t="s">
        <v>32</v>
      </c>
      <c r="E429" s="9">
        <v>62.089928134878797</v>
      </c>
      <c r="F429" s="9">
        <v>806.51208329365295</v>
      </c>
      <c r="G429" s="9">
        <f>DATOS!$E429*DATOS!$F429</f>
        <v>50076.277291614293</v>
      </c>
    </row>
    <row r="430" spans="1:7" x14ac:dyDescent="0.3">
      <c r="A430" s="10">
        <v>40722</v>
      </c>
      <c r="B430" s="9" t="s">
        <v>8</v>
      </c>
      <c r="C430" s="9" t="s">
        <v>26</v>
      </c>
      <c r="D430" s="9" t="s">
        <v>33</v>
      </c>
      <c r="E430" s="9">
        <v>62.131067173679298</v>
      </c>
      <c r="F430" s="9">
        <v>806.36560727414701</v>
      </c>
      <c r="G430" s="9">
        <f>DATOS!$E430*DATOS!$F430</f>
        <v>50100.35571209473</v>
      </c>
    </row>
    <row r="431" spans="1:7" x14ac:dyDescent="0.3">
      <c r="A431" s="10">
        <v>41443</v>
      </c>
      <c r="B431" s="9" t="s">
        <v>8</v>
      </c>
      <c r="C431" s="9" t="s">
        <v>26</v>
      </c>
      <c r="D431" s="9" t="s">
        <v>32</v>
      </c>
      <c r="E431" s="9">
        <v>62.1722062124799</v>
      </c>
      <c r="F431" s="9">
        <v>806.21913125464198</v>
      </c>
      <c r="G431" s="9">
        <f>DATOS!$E431*DATOS!$F431</f>
        <v>50124.42208081</v>
      </c>
    </row>
    <row r="432" spans="1:7" x14ac:dyDescent="0.3">
      <c r="A432" s="10">
        <v>40991</v>
      </c>
      <c r="B432" s="9" t="s">
        <v>8</v>
      </c>
      <c r="C432" s="9" t="s">
        <v>26</v>
      </c>
      <c r="D432" s="9" t="s">
        <v>31</v>
      </c>
      <c r="E432" s="9">
        <v>62.213345251280501</v>
      </c>
      <c r="F432" s="9">
        <v>806.07265523513604</v>
      </c>
      <c r="G432" s="9">
        <f>DATOS!$E432*DATOS!$F432</f>
        <v>50148.476397759914</v>
      </c>
    </row>
    <row r="433" spans="1:7" x14ac:dyDescent="0.3">
      <c r="A433" s="10">
        <v>41318</v>
      </c>
      <c r="B433" s="9" t="s">
        <v>8</v>
      </c>
      <c r="C433" s="9" t="s">
        <v>24</v>
      </c>
      <c r="D433" s="9" t="s">
        <v>33</v>
      </c>
      <c r="E433" s="9">
        <v>62.254484290081002</v>
      </c>
      <c r="F433" s="9">
        <v>805.92617921562999</v>
      </c>
      <c r="G433" s="9">
        <f>DATOS!$E433*DATOS!$F433</f>
        <v>50172.518662944443</v>
      </c>
    </row>
    <row r="434" spans="1:7" x14ac:dyDescent="0.3">
      <c r="A434" s="10">
        <v>41095</v>
      </c>
      <c r="B434" s="9" t="s">
        <v>8</v>
      </c>
      <c r="C434" s="9" t="s">
        <v>28</v>
      </c>
      <c r="D434" s="9" t="s">
        <v>37</v>
      </c>
      <c r="E434" s="9">
        <v>62.295623328881597</v>
      </c>
      <c r="F434" s="9">
        <v>805.77970319612496</v>
      </c>
      <c r="G434" s="9">
        <f>DATOS!$E434*DATOS!$F434</f>
        <v>50196.548876363813</v>
      </c>
    </row>
    <row r="435" spans="1:7" x14ac:dyDescent="0.3">
      <c r="A435" s="10">
        <v>41901</v>
      </c>
      <c r="B435" s="9" t="s">
        <v>8</v>
      </c>
      <c r="C435" s="9" t="s">
        <v>28</v>
      </c>
      <c r="D435" s="9" t="s">
        <v>32</v>
      </c>
      <c r="E435" s="9">
        <v>62.336762367682198</v>
      </c>
      <c r="F435" s="9">
        <v>805.63322717661902</v>
      </c>
      <c r="G435" s="9">
        <f>DATOS!$E435*DATOS!$F435</f>
        <v>50220.567038017827</v>
      </c>
    </row>
    <row r="436" spans="1:7" x14ac:dyDescent="0.3">
      <c r="A436" s="10">
        <v>40453</v>
      </c>
      <c r="B436" s="9" t="s">
        <v>8</v>
      </c>
      <c r="C436" s="9" t="s">
        <v>25</v>
      </c>
      <c r="D436" s="9" t="s">
        <v>33</v>
      </c>
      <c r="E436" s="9">
        <v>62.3779014064827</v>
      </c>
      <c r="F436" s="9">
        <v>805.48675115711296</v>
      </c>
      <c r="G436" s="9">
        <f>DATOS!$E436*DATOS!$F436</f>
        <v>50244.573147906456</v>
      </c>
    </row>
    <row r="437" spans="1:7" x14ac:dyDescent="0.3">
      <c r="A437" s="10">
        <v>41282</v>
      </c>
      <c r="B437" s="9" t="s">
        <v>8</v>
      </c>
      <c r="C437" s="9" t="s">
        <v>25</v>
      </c>
      <c r="D437" s="9" t="s">
        <v>32</v>
      </c>
      <c r="E437" s="9">
        <v>62.419040445283301</v>
      </c>
      <c r="F437" s="9">
        <v>805.34027513760805</v>
      </c>
      <c r="G437" s="9">
        <f>DATOS!$E437*DATOS!$F437</f>
        <v>50268.56720602994</v>
      </c>
    </row>
    <row r="438" spans="1:7" x14ac:dyDescent="0.3">
      <c r="A438" s="10">
        <v>41976</v>
      </c>
      <c r="B438" s="9" t="s">
        <v>8</v>
      </c>
      <c r="C438" s="9" t="s">
        <v>24</v>
      </c>
      <c r="D438" s="9" t="s">
        <v>32</v>
      </c>
      <c r="E438" s="9">
        <v>62.460179484083902</v>
      </c>
      <c r="F438" s="9">
        <v>805.19379911810199</v>
      </c>
      <c r="G438" s="9">
        <f>DATOS!$E438*DATOS!$F438</f>
        <v>50292.549212388047</v>
      </c>
    </row>
    <row r="439" spans="1:7" x14ac:dyDescent="0.3">
      <c r="A439" s="10">
        <v>40787</v>
      </c>
      <c r="B439" s="9" t="s">
        <v>8</v>
      </c>
      <c r="C439" s="9" t="s">
        <v>25</v>
      </c>
      <c r="D439" s="9" t="s">
        <v>37</v>
      </c>
      <c r="E439" s="9">
        <v>62.501318522884397</v>
      </c>
      <c r="F439" s="9">
        <v>805.04732309859605</v>
      </c>
      <c r="G439" s="9">
        <f>DATOS!$E439*DATOS!$F439</f>
        <v>50316.519166980783</v>
      </c>
    </row>
    <row r="440" spans="1:7" x14ac:dyDescent="0.3">
      <c r="A440" s="10">
        <v>41456</v>
      </c>
      <c r="B440" s="9" t="s">
        <v>8</v>
      </c>
      <c r="C440" s="9" t="s">
        <v>28</v>
      </c>
      <c r="D440" s="9" t="s">
        <v>31</v>
      </c>
      <c r="E440" s="9">
        <v>62.542457561684998</v>
      </c>
      <c r="F440" s="9">
        <v>804.90084707909102</v>
      </c>
      <c r="G440" s="9">
        <f>DATOS!$E440*DATOS!$F440</f>
        <v>50340.477069808359</v>
      </c>
    </row>
    <row r="441" spans="1:7" x14ac:dyDescent="0.3">
      <c r="A441" s="10">
        <v>41605</v>
      </c>
      <c r="B441" s="9" t="s">
        <v>8</v>
      </c>
      <c r="C441" s="9" t="s">
        <v>27</v>
      </c>
      <c r="D441" s="9" t="s">
        <v>31</v>
      </c>
      <c r="E441" s="9">
        <v>62.583596600485599</v>
      </c>
      <c r="F441" s="9">
        <v>804.75437105958497</v>
      </c>
      <c r="G441" s="9">
        <f>DATOS!$E441*DATOS!$F441</f>
        <v>50364.422920870566</v>
      </c>
    </row>
    <row r="442" spans="1:7" x14ac:dyDescent="0.3">
      <c r="A442" s="10">
        <v>40387</v>
      </c>
      <c r="B442" s="9" t="s">
        <v>8</v>
      </c>
      <c r="C442" s="9" t="s">
        <v>24</v>
      </c>
      <c r="D442" s="9" t="s">
        <v>31</v>
      </c>
      <c r="E442" s="9">
        <v>62.624735639286101</v>
      </c>
      <c r="F442" s="9">
        <v>804.60789504007903</v>
      </c>
      <c r="G442" s="9">
        <f>DATOS!$E442*DATOS!$F442</f>
        <v>50388.356720167409</v>
      </c>
    </row>
    <row r="443" spans="1:7" x14ac:dyDescent="0.3">
      <c r="A443" s="10">
        <v>40693</v>
      </c>
      <c r="B443" s="9" t="s">
        <v>8</v>
      </c>
      <c r="C443" s="9" t="s">
        <v>28</v>
      </c>
      <c r="D443" s="9" t="s">
        <v>31</v>
      </c>
      <c r="E443" s="9">
        <v>62.665874678086702</v>
      </c>
      <c r="F443" s="9">
        <v>804.461419020574</v>
      </c>
      <c r="G443" s="9">
        <f>DATOS!$E443*DATOS!$F443</f>
        <v>50412.278467699085</v>
      </c>
    </row>
    <row r="444" spans="1:7" x14ac:dyDescent="0.3">
      <c r="A444" s="10">
        <v>40216</v>
      </c>
      <c r="B444" s="9" t="s">
        <v>8</v>
      </c>
      <c r="C444" s="9" t="s">
        <v>27</v>
      </c>
      <c r="D444" s="9" t="s">
        <v>31</v>
      </c>
      <c r="E444" s="9">
        <v>62.707013716887303</v>
      </c>
      <c r="F444" s="9">
        <v>804.31494300106795</v>
      </c>
      <c r="G444" s="9">
        <f>DATOS!$E444*DATOS!$F444</f>
        <v>50436.188163465398</v>
      </c>
    </row>
    <row r="445" spans="1:7" x14ac:dyDescent="0.3">
      <c r="A445" s="10">
        <v>41112</v>
      </c>
      <c r="B445" s="9" t="s">
        <v>8</v>
      </c>
      <c r="C445" s="9" t="s">
        <v>26</v>
      </c>
      <c r="D445" s="9" t="s">
        <v>31</v>
      </c>
      <c r="E445" s="9">
        <v>62.748152755687798</v>
      </c>
      <c r="F445" s="9">
        <v>804.16846698156201</v>
      </c>
      <c r="G445" s="9">
        <f>DATOS!$E445*DATOS!$F445</f>
        <v>50460.085807466334</v>
      </c>
    </row>
    <row r="446" spans="1:7" x14ac:dyDescent="0.3">
      <c r="A446" s="10">
        <v>41326</v>
      </c>
      <c r="B446" s="9" t="s">
        <v>8</v>
      </c>
      <c r="C446" s="9" t="s">
        <v>27</v>
      </c>
      <c r="D446" s="9" t="s">
        <v>37</v>
      </c>
      <c r="E446" s="9">
        <v>62.789291794488399</v>
      </c>
      <c r="F446" s="9">
        <v>804.02199096205698</v>
      </c>
      <c r="G446" s="9">
        <f>DATOS!$E446*DATOS!$F446</f>
        <v>50483.97139970211</v>
      </c>
    </row>
    <row r="447" spans="1:7" x14ac:dyDescent="0.3">
      <c r="A447" s="10">
        <v>41852</v>
      </c>
      <c r="B447" s="9" t="s">
        <v>8</v>
      </c>
      <c r="C447" s="9" t="s">
        <v>25</v>
      </c>
      <c r="D447" s="9" t="s">
        <v>32</v>
      </c>
      <c r="E447" s="9">
        <v>62.830430833289</v>
      </c>
      <c r="F447" s="9">
        <v>803.87551494255104</v>
      </c>
      <c r="G447" s="9">
        <f>DATOS!$E447*DATOS!$F447</f>
        <v>50507.84494017253</v>
      </c>
    </row>
    <row r="448" spans="1:7" x14ac:dyDescent="0.3">
      <c r="A448" s="10">
        <v>41407</v>
      </c>
      <c r="B448" s="9" t="s">
        <v>8</v>
      </c>
      <c r="C448" s="9" t="s">
        <v>28</v>
      </c>
      <c r="D448" s="9" t="s">
        <v>31</v>
      </c>
      <c r="E448" s="9">
        <v>62.871569872089502</v>
      </c>
      <c r="F448" s="9">
        <v>803.72903892304601</v>
      </c>
      <c r="G448" s="9">
        <f>DATOS!$E448*DATOS!$F448</f>
        <v>50531.706428877631</v>
      </c>
    </row>
    <row r="449" spans="1:7" x14ac:dyDescent="0.3">
      <c r="A449" s="10">
        <v>41558</v>
      </c>
      <c r="B449" s="9" t="s">
        <v>8</v>
      </c>
      <c r="C449" s="9" t="s">
        <v>26</v>
      </c>
      <c r="D449" s="9" t="s">
        <v>32</v>
      </c>
      <c r="E449" s="9">
        <v>62.912708910890103</v>
      </c>
      <c r="F449" s="9">
        <v>803.58256290353995</v>
      </c>
      <c r="G449" s="9">
        <f>DATOS!$E449*DATOS!$F449</f>
        <v>50555.555865817441</v>
      </c>
    </row>
    <row r="450" spans="1:7" x14ac:dyDescent="0.3">
      <c r="A450" s="10">
        <v>40223</v>
      </c>
      <c r="B450" s="9" t="s">
        <v>8</v>
      </c>
      <c r="C450" s="9" t="s">
        <v>27</v>
      </c>
      <c r="D450" s="9" t="s">
        <v>32</v>
      </c>
      <c r="E450" s="9">
        <v>62.953847949690697</v>
      </c>
      <c r="F450" s="9">
        <v>803.43608688403401</v>
      </c>
      <c r="G450" s="9">
        <f>DATOS!$E450*DATOS!$F450</f>
        <v>50579.393250991961</v>
      </c>
    </row>
    <row r="451" spans="1:7" x14ac:dyDescent="0.3">
      <c r="A451" s="10">
        <v>40537</v>
      </c>
      <c r="B451" s="9" t="s">
        <v>8</v>
      </c>
      <c r="C451" s="9" t="s">
        <v>24</v>
      </c>
      <c r="D451" s="9" t="s">
        <v>33</v>
      </c>
      <c r="E451" s="9">
        <v>62.994986988491199</v>
      </c>
      <c r="F451" s="9">
        <v>803.28961086452898</v>
      </c>
      <c r="G451" s="9">
        <f>DATOS!$E451*DATOS!$F451</f>
        <v>50603.218584401162</v>
      </c>
    </row>
    <row r="452" spans="1:7" x14ac:dyDescent="0.3">
      <c r="A452" s="10">
        <v>41173</v>
      </c>
      <c r="B452" s="9" t="s">
        <v>8</v>
      </c>
      <c r="C452" s="9" t="s">
        <v>24</v>
      </c>
      <c r="D452" s="9" t="s">
        <v>33</v>
      </c>
      <c r="E452" s="9">
        <v>63.0361260272918</v>
      </c>
      <c r="F452" s="9">
        <v>803.14313484502304</v>
      </c>
      <c r="G452" s="9">
        <f>DATOS!$E452*DATOS!$F452</f>
        <v>50627.031866045087</v>
      </c>
    </row>
    <row r="453" spans="1:7" x14ac:dyDescent="0.3">
      <c r="A453" s="10">
        <v>41529</v>
      </c>
      <c r="B453" s="9" t="s">
        <v>8</v>
      </c>
      <c r="C453" s="9" t="s">
        <v>24</v>
      </c>
      <c r="D453" s="9" t="s">
        <v>37</v>
      </c>
      <c r="E453" s="9">
        <v>63.077265066092401</v>
      </c>
      <c r="F453" s="9">
        <v>802.99665882551699</v>
      </c>
      <c r="G453" s="9">
        <f>DATOS!$E453*DATOS!$F453</f>
        <v>50650.833095923699</v>
      </c>
    </row>
    <row r="454" spans="1:7" x14ac:dyDescent="0.3">
      <c r="A454" s="10">
        <v>41437</v>
      </c>
      <c r="B454" s="9" t="s">
        <v>8</v>
      </c>
      <c r="C454" s="9" t="s">
        <v>28</v>
      </c>
      <c r="D454" s="9" t="s">
        <v>30</v>
      </c>
      <c r="E454" s="9">
        <v>63.118404104892903</v>
      </c>
      <c r="F454" s="9">
        <v>802.85018280601196</v>
      </c>
      <c r="G454" s="9">
        <f>DATOS!$E454*DATOS!$F454</f>
        <v>50674.622274036999</v>
      </c>
    </row>
    <row r="455" spans="1:7" x14ac:dyDescent="0.3">
      <c r="A455" s="10">
        <v>41008</v>
      </c>
      <c r="B455" s="9" t="s">
        <v>8</v>
      </c>
      <c r="C455" s="9" t="s">
        <v>26</v>
      </c>
      <c r="D455" s="9" t="s">
        <v>37</v>
      </c>
      <c r="E455" s="9">
        <v>63.159543143693497</v>
      </c>
      <c r="F455" s="9">
        <v>802.70370678650602</v>
      </c>
      <c r="G455" s="9">
        <f>DATOS!$E455*DATOS!$F455</f>
        <v>50698.399400385024</v>
      </c>
    </row>
    <row r="456" spans="1:7" x14ac:dyDescent="0.3">
      <c r="A456" s="10">
        <v>40199</v>
      </c>
      <c r="B456" s="9" t="s">
        <v>8</v>
      </c>
      <c r="C456" s="9" t="s">
        <v>27</v>
      </c>
      <c r="D456" s="9" t="s">
        <v>37</v>
      </c>
      <c r="E456" s="9">
        <v>63.200682182494099</v>
      </c>
      <c r="F456" s="9">
        <v>802.55723076700099</v>
      </c>
      <c r="G456" s="9">
        <f>DATOS!$E456*DATOS!$F456</f>
        <v>50722.164474967802</v>
      </c>
    </row>
    <row r="457" spans="1:7" x14ac:dyDescent="0.3">
      <c r="A457" s="10">
        <v>41367</v>
      </c>
      <c r="B457" s="9" t="s">
        <v>8</v>
      </c>
      <c r="C457" s="9" t="s">
        <v>29</v>
      </c>
      <c r="D457" s="9" t="s">
        <v>31</v>
      </c>
      <c r="E457" s="9">
        <v>63.2418212212946</v>
      </c>
      <c r="F457" s="9">
        <v>802.41075474749505</v>
      </c>
      <c r="G457" s="9">
        <f>DATOS!$E457*DATOS!$F457</f>
        <v>50745.917497785151</v>
      </c>
    </row>
    <row r="458" spans="1:7" x14ac:dyDescent="0.3">
      <c r="A458" s="10">
        <v>41008</v>
      </c>
      <c r="B458" s="9" t="s">
        <v>8</v>
      </c>
      <c r="C458" s="9" t="s">
        <v>29</v>
      </c>
      <c r="D458" s="9" t="s">
        <v>33</v>
      </c>
      <c r="E458" s="9">
        <v>63.282960260095201</v>
      </c>
      <c r="F458" s="9">
        <v>802.26427872798899</v>
      </c>
      <c r="G458" s="9">
        <f>DATOS!$E458*DATOS!$F458</f>
        <v>50769.658468837268</v>
      </c>
    </row>
    <row r="459" spans="1:7" x14ac:dyDescent="0.3">
      <c r="A459" s="10">
        <v>41151</v>
      </c>
      <c r="B459" s="9" t="s">
        <v>8</v>
      </c>
      <c r="C459" s="9" t="s">
        <v>27</v>
      </c>
      <c r="D459" s="9" t="s">
        <v>32</v>
      </c>
      <c r="E459" s="9">
        <v>63.324099298895803</v>
      </c>
      <c r="F459" s="9">
        <v>802.11780270848396</v>
      </c>
      <c r="G459" s="9">
        <f>DATOS!$E459*DATOS!$F459</f>
        <v>50793.387388124152</v>
      </c>
    </row>
    <row r="460" spans="1:7" x14ac:dyDescent="0.3">
      <c r="A460" s="10">
        <v>40996</v>
      </c>
      <c r="B460" s="9" t="s">
        <v>8</v>
      </c>
      <c r="C460" s="9" t="s">
        <v>29</v>
      </c>
      <c r="D460" s="9" t="s">
        <v>33</v>
      </c>
      <c r="E460" s="9">
        <v>63.365238337696297</v>
      </c>
      <c r="F460" s="9">
        <v>801.97132668897802</v>
      </c>
      <c r="G460" s="9">
        <f>DATOS!$E460*DATOS!$F460</f>
        <v>50817.104255645594</v>
      </c>
    </row>
    <row r="461" spans="1:7" x14ac:dyDescent="0.3">
      <c r="A461" s="10">
        <v>41198</v>
      </c>
      <c r="B461" s="9" t="s">
        <v>8</v>
      </c>
      <c r="C461" s="9" t="s">
        <v>29</v>
      </c>
      <c r="D461" s="9" t="s">
        <v>32</v>
      </c>
      <c r="E461" s="9">
        <v>63.406377376496899</v>
      </c>
      <c r="F461" s="9">
        <v>801.82485066947197</v>
      </c>
      <c r="G461" s="9">
        <f>DATOS!$E461*DATOS!$F461</f>
        <v>50840.809071401811</v>
      </c>
    </row>
    <row r="462" spans="1:7" x14ac:dyDescent="0.3">
      <c r="A462" s="10">
        <v>41410</v>
      </c>
      <c r="B462" s="9" t="s">
        <v>8</v>
      </c>
      <c r="C462" s="9" t="s">
        <v>26</v>
      </c>
      <c r="D462" s="9" t="s">
        <v>31</v>
      </c>
      <c r="E462" s="9">
        <v>63.4475164152975</v>
      </c>
      <c r="F462" s="9">
        <v>801.67837464996705</v>
      </c>
      <c r="G462" s="9">
        <f>DATOS!$E462*DATOS!$F462</f>
        <v>50864.501835392803</v>
      </c>
    </row>
    <row r="463" spans="1:7" x14ac:dyDescent="0.3">
      <c r="A463" s="10">
        <v>41063</v>
      </c>
      <c r="B463" s="9" t="s">
        <v>8</v>
      </c>
      <c r="C463" s="9" t="s">
        <v>24</v>
      </c>
      <c r="D463" s="9" t="s">
        <v>37</v>
      </c>
      <c r="E463" s="9">
        <v>63.488655454098001</v>
      </c>
      <c r="F463" s="9">
        <v>801.531898630461</v>
      </c>
      <c r="G463" s="9">
        <f>DATOS!$E463*DATOS!$F463</f>
        <v>50888.182547618344</v>
      </c>
    </row>
    <row r="464" spans="1:7" x14ac:dyDescent="0.3">
      <c r="A464" s="10">
        <v>40369</v>
      </c>
      <c r="B464" s="9" t="s">
        <v>8</v>
      </c>
      <c r="C464" s="9" t="s">
        <v>26</v>
      </c>
      <c r="D464" s="9" t="s">
        <v>37</v>
      </c>
      <c r="E464" s="9">
        <v>63.529794492898603</v>
      </c>
      <c r="F464" s="9">
        <v>801.38542261095495</v>
      </c>
      <c r="G464" s="9">
        <f>DATOS!$E464*DATOS!$F464</f>
        <v>50911.851208078668</v>
      </c>
    </row>
    <row r="465" spans="1:7" x14ac:dyDescent="0.3">
      <c r="A465" s="10">
        <v>41415</v>
      </c>
      <c r="B465" s="9" t="s">
        <v>8</v>
      </c>
      <c r="C465" s="9" t="s">
        <v>24</v>
      </c>
      <c r="D465" s="9" t="s">
        <v>37</v>
      </c>
      <c r="E465" s="9">
        <v>63.570933531699197</v>
      </c>
      <c r="F465" s="9">
        <v>801.23894659145003</v>
      </c>
      <c r="G465" s="9">
        <f>DATOS!$E465*DATOS!$F465</f>
        <v>50935.507816773752</v>
      </c>
    </row>
    <row r="466" spans="1:7" x14ac:dyDescent="0.3">
      <c r="A466" s="10">
        <v>40532</v>
      </c>
      <c r="B466" s="9" t="s">
        <v>8</v>
      </c>
      <c r="C466" s="9" t="s">
        <v>25</v>
      </c>
      <c r="D466" s="9" t="s">
        <v>32</v>
      </c>
      <c r="E466" s="9">
        <v>63.612072570499699</v>
      </c>
      <c r="F466" s="9">
        <v>801.09247057194398</v>
      </c>
      <c r="G466" s="9">
        <f>DATOS!$E466*DATOS!$F466</f>
        <v>50959.152373703393</v>
      </c>
    </row>
    <row r="467" spans="1:7" x14ac:dyDescent="0.3">
      <c r="A467" s="10">
        <v>40901</v>
      </c>
      <c r="B467" s="9" t="s">
        <v>8</v>
      </c>
      <c r="C467" s="9" t="s">
        <v>29</v>
      </c>
      <c r="D467" s="9" t="s">
        <v>37</v>
      </c>
      <c r="E467" s="9">
        <v>63.6532116093003</v>
      </c>
      <c r="F467" s="9">
        <v>800.94599455243804</v>
      </c>
      <c r="G467" s="9">
        <f>DATOS!$E467*DATOS!$F467</f>
        <v>50982.784878867824</v>
      </c>
    </row>
    <row r="468" spans="1:7" x14ac:dyDescent="0.3">
      <c r="A468" s="10">
        <v>40742</v>
      </c>
      <c r="B468" s="9" t="s">
        <v>8</v>
      </c>
      <c r="C468" s="9" t="s">
        <v>29</v>
      </c>
      <c r="D468" s="9" t="s">
        <v>33</v>
      </c>
      <c r="E468" s="9">
        <v>63.694350648100901</v>
      </c>
      <c r="F468" s="9">
        <v>800.79951853293301</v>
      </c>
      <c r="G468" s="9">
        <f>DATOS!$E468*DATOS!$F468</f>
        <v>51006.405332267008</v>
      </c>
    </row>
    <row r="469" spans="1:7" x14ac:dyDescent="0.3">
      <c r="A469" s="10">
        <v>40402</v>
      </c>
      <c r="B469" s="9" t="s">
        <v>8</v>
      </c>
      <c r="C469" s="9" t="s">
        <v>27</v>
      </c>
      <c r="D469" s="9" t="s">
        <v>32</v>
      </c>
      <c r="E469" s="9">
        <v>63.735489686901403</v>
      </c>
      <c r="F469" s="9">
        <v>800.65304251342695</v>
      </c>
      <c r="G469" s="9">
        <f>DATOS!$E469*DATOS!$F469</f>
        <v>51030.013733900756</v>
      </c>
    </row>
    <row r="470" spans="1:7" x14ac:dyDescent="0.3">
      <c r="A470" s="10">
        <v>40960</v>
      </c>
      <c r="B470" s="9" t="s">
        <v>8</v>
      </c>
      <c r="C470" s="9" t="s">
        <v>28</v>
      </c>
      <c r="D470" s="9" t="s">
        <v>37</v>
      </c>
      <c r="E470" s="9">
        <v>63.776628725701997</v>
      </c>
      <c r="F470" s="9">
        <v>800.50656649392101</v>
      </c>
      <c r="G470" s="9">
        <f>DATOS!$E470*DATOS!$F470</f>
        <v>51053.610083769279</v>
      </c>
    </row>
    <row r="471" spans="1:7" x14ac:dyDescent="0.3">
      <c r="A471" s="10">
        <v>40293</v>
      </c>
      <c r="B471" s="9" t="s">
        <v>8</v>
      </c>
      <c r="C471" s="9" t="s">
        <v>25</v>
      </c>
      <c r="D471" s="9" t="s">
        <v>30</v>
      </c>
      <c r="E471" s="9">
        <v>63.817767764502598</v>
      </c>
      <c r="F471" s="9">
        <v>800.36009047441598</v>
      </c>
      <c r="G471" s="9">
        <f>DATOS!$E471*DATOS!$F471</f>
        <v>51077.19438187257</v>
      </c>
    </row>
    <row r="472" spans="1:7" x14ac:dyDescent="0.3">
      <c r="A472" s="10">
        <v>40750</v>
      </c>
      <c r="B472" s="9" t="s">
        <v>8</v>
      </c>
      <c r="C472" s="9" t="s">
        <v>27</v>
      </c>
      <c r="D472" s="9" t="s">
        <v>31</v>
      </c>
      <c r="E472" s="9">
        <v>63.8589068033031</v>
      </c>
      <c r="F472" s="9">
        <v>800.21361445491004</v>
      </c>
      <c r="G472" s="9">
        <f>DATOS!$E472*DATOS!$F472</f>
        <v>51100.766628210418</v>
      </c>
    </row>
    <row r="473" spans="1:7" x14ac:dyDescent="0.3">
      <c r="A473" s="10">
        <v>41061</v>
      </c>
      <c r="B473" s="9" t="s">
        <v>8</v>
      </c>
      <c r="C473" s="9" t="s">
        <v>27</v>
      </c>
      <c r="D473" s="9" t="s">
        <v>37</v>
      </c>
      <c r="E473" s="9">
        <v>63.900045842103701</v>
      </c>
      <c r="F473" s="9">
        <v>800.06713843540501</v>
      </c>
      <c r="G473" s="9">
        <f>DATOS!$E473*DATOS!$F473</f>
        <v>51124.326822783107</v>
      </c>
    </row>
    <row r="474" spans="1:7" x14ac:dyDescent="0.3">
      <c r="A474" s="10">
        <v>40311</v>
      </c>
      <c r="B474" s="9" t="s">
        <v>8</v>
      </c>
      <c r="C474" s="9" t="s">
        <v>26</v>
      </c>
      <c r="D474" s="9" t="s">
        <v>31</v>
      </c>
      <c r="E474" s="9">
        <v>63.941184880904302</v>
      </c>
      <c r="F474" s="9">
        <v>799.92066241589896</v>
      </c>
      <c r="G474" s="9">
        <f>DATOS!$E474*DATOS!$F474</f>
        <v>51147.874965590432</v>
      </c>
    </row>
    <row r="475" spans="1:7" x14ac:dyDescent="0.3">
      <c r="A475" s="10">
        <v>40699</v>
      </c>
      <c r="B475" s="9" t="s">
        <v>8</v>
      </c>
      <c r="C475" s="9" t="s">
        <v>24</v>
      </c>
      <c r="D475" s="9" t="s">
        <v>30</v>
      </c>
      <c r="E475" s="9">
        <v>63.982323919704797</v>
      </c>
      <c r="F475" s="9">
        <v>799.77418639639302</v>
      </c>
      <c r="G475" s="9">
        <f>DATOS!$E475*DATOS!$F475</f>
        <v>51171.41105663238</v>
      </c>
    </row>
    <row r="476" spans="1:7" x14ac:dyDescent="0.3">
      <c r="A476" s="10">
        <v>41446</v>
      </c>
      <c r="B476" s="9" t="s">
        <v>8</v>
      </c>
      <c r="C476" s="9" t="s">
        <v>26</v>
      </c>
      <c r="D476" s="9" t="s">
        <v>30</v>
      </c>
      <c r="E476" s="9">
        <v>64.023462958505405</v>
      </c>
      <c r="F476" s="9">
        <v>799.62771037688799</v>
      </c>
      <c r="G476" s="9">
        <f>DATOS!$E476*DATOS!$F476</f>
        <v>51194.935095909175</v>
      </c>
    </row>
    <row r="477" spans="1:7" x14ac:dyDescent="0.3">
      <c r="A477" s="10">
        <v>41193</v>
      </c>
      <c r="B477" s="9" t="s">
        <v>8</v>
      </c>
      <c r="C477" s="9" t="s">
        <v>28</v>
      </c>
      <c r="D477" s="9" t="s">
        <v>30</v>
      </c>
      <c r="E477" s="9">
        <v>64.064601997305999</v>
      </c>
      <c r="F477" s="9">
        <v>799.48123435738205</v>
      </c>
      <c r="G477" s="9">
        <f>DATOS!$E477*DATOS!$F477</f>
        <v>51218.4470834206</v>
      </c>
    </row>
    <row r="478" spans="1:7" x14ac:dyDescent="0.3">
      <c r="A478" s="10">
        <v>40777</v>
      </c>
      <c r="B478" s="9" t="s">
        <v>8</v>
      </c>
      <c r="C478" s="9" t="s">
        <v>24</v>
      </c>
      <c r="D478" s="9" t="s">
        <v>31</v>
      </c>
      <c r="E478" s="9">
        <v>64.105741036106494</v>
      </c>
      <c r="F478" s="9">
        <v>799.334758337876</v>
      </c>
      <c r="G478" s="9">
        <f>DATOS!$E478*DATOS!$F478</f>
        <v>51241.947019166648</v>
      </c>
    </row>
    <row r="479" spans="1:7" x14ac:dyDescent="0.3">
      <c r="A479" s="10">
        <v>41846</v>
      </c>
      <c r="B479" s="9" t="s">
        <v>8</v>
      </c>
      <c r="C479" s="9" t="s">
        <v>24</v>
      </c>
      <c r="D479" s="9" t="s">
        <v>37</v>
      </c>
      <c r="E479" s="9">
        <v>64.146880074907102</v>
      </c>
      <c r="F479" s="9">
        <v>799.18828231837097</v>
      </c>
      <c r="G479" s="9">
        <f>DATOS!$E479*DATOS!$F479</f>
        <v>51265.434903147543</v>
      </c>
    </row>
    <row r="480" spans="1:7" x14ac:dyDescent="0.3">
      <c r="A480" s="10">
        <v>41668</v>
      </c>
      <c r="B480" s="9" t="s">
        <v>8</v>
      </c>
      <c r="C480" s="9" t="s">
        <v>27</v>
      </c>
      <c r="D480" s="9" t="s">
        <v>33</v>
      </c>
      <c r="E480" s="9">
        <v>64.188019113707696</v>
      </c>
      <c r="F480" s="9">
        <v>799.04180629886503</v>
      </c>
      <c r="G480" s="9">
        <f>DATOS!$E480*DATOS!$F480</f>
        <v>51288.910735363068</v>
      </c>
    </row>
    <row r="481" spans="1:7" x14ac:dyDescent="0.3">
      <c r="A481" s="10">
        <v>40462</v>
      </c>
      <c r="B481" s="9" t="s">
        <v>8</v>
      </c>
      <c r="C481" s="9" t="s">
        <v>24</v>
      </c>
      <c r="D481" s="9" t="s">
        <v>32</v>
      </c>
      <c r="E481" s="9">
        <v>64.229158152508205</v>
      </c>
      <c r="F481" s="9">
        <v>798.89533027936</v>
      </c>
      <c r="G481" s="9">
        <f>DATOS!$E481*DATOS!$F481</f>
        <v>51312.374515813288</v>
      </c>
    </row>
    <row r="482" spans="1:7" x14ac:dyDescent="0.3">
      <c r="A482" s="10">
        <v>41304</v>
      </c>
      <c r="B482" s="9" t="s">
        <v>8</v>
      </c>
      <c r="C482" s="9" t="s">
        <v>25</v>
      </c>
      <c r="D482" s="9" t="s">
        <v>31</v>
      </c>
      <c r="E482" s="9">
        <v>64.270297191308799</v>
      </c>
      <c r="F482" s="9">
        <v>798.74885425985406</v>
      </c>
      <c r="G482" s="9">
        <f>DATOS!$E482*DATOS!$F482</f>
        <v>51335.826244498217</v>
      </c>
    </row>
    <row r="483" spans="1:7" x14ac:dyDescent="0.3">
      <c r="A483" s="10">
        <v>40980</v>
      </c>
      <c r="B483" s="9" t="s">
        <v>8</v>
      </c>
      <c r="C483" s="9" t="s">
        <v>27</v>
      </c>
      <c r="D483" s="9" t="s">
        <v>32</v>
      </c>
      <c r="E483" s="9">
        <v>64.311436230109393</v>
      </c>
      <c r="F483" s="9">
        <v>798.602378240348</v>
      </c>
      <c r="G483" s="9">
        <f>DATOS!$E483*DATOS!$F483</f>
        <v>51359.265921417842</v>
      </c>
    </row>
    <row r="484" spans="1:7" x14ac:dyDescent="0.3">
      <c r="A484" s="10">
        <v>41262</v>
      </c>
      <c r="B484" s="9" t="s">
        <v>8</v>
      </c>
      <c r="C484" s="9" t="s">
        <v>25</v>
      </c>
      <c r="D484" s="9" t="s">
        <v>31</v>
      </c>
      <c r="E484" s="9">
        <v>64.352575268909902</v>
      </c>
      <c r="F484" s="9">
        <v>798.45590222084297</v>
      </c>
      <c r="G484" s="9">
        <f>DATOS!$E484*DATOS!$F484</f>
        <v>51382.693546572162</v>
      </c>
    </row>
    <row r="485" spans="1:7" x14ac:dyDescent="0.3">
      <c r="A485" s="10">
        <v>41360</v>
      </c>
      <c r="B485" s="9" t="s">
        <v>8</v>
      </c>
      <c r="C485" s="9" t="s">
        <v>28</v>
      </c>
      <c r="D485" s="9" t="s">
        <v>32</v>
      </c>
      <c r="E485" s="9">
        <v>64.393714307710496</v>
      </c>
      <c r="F485" s="9">
        <v>798.309426202037</v>
      </c>
      <c r="G485" s="9">
        <f>DATOS!$E485*DATOS!$F485</f>
        <v>51406.109120006266</v>
      </c>
    </row>
    <row r="486" spans="1:7" x14ac:dyDescent="0.3">
      <c r="A486" s="10">
        <v>41909</v>
      </c>
      <c r="B486" s="9" t="s">
        <v>8</v>
      </c>
      <c r="C486" s="9" t="s">
        <v>29</v>
      </c>
      <c r="D486" s="9" t="s">
        <v>31</v>
      </c>
      <c r="E486" s="9">
        <v>64.434853346511105</v>
      </c>
      <c r="F486" s="9">
        <v>798.16295018183098</v>
      </c>
      <c r="G486" s="9">
        <f>DATOS!$E486*DATOS!$F486</f>
        <v>51429.51264158493</v>
      </c>
    </row>
    <row r="487" spans="1:7" x14ac:dyDescent="0.3">
      <c r="A487" s="10">
        <v>40759</v>
      </c>
      <c r="B487" s="9" t="s">
        <v>8</v>
      </c>
      <c r="C487" s="9" t="s">
        <v>26</v>
      </c>
      <c r="D487" s="9" t="s">
        <v>30</v>
      </c>
      <c r="E487" s="9">
        <v>64.475992385311599</v>
      </c>
      <c r="F487" s="9">
        <v>798.01647416232595</v>
      </c>
      <c r="G487" s="9">
        <f>DATOS!$E487*DATOS!$F487</f>
        <v>51452.904111443335</v>
      </c>
    </row>
    <row r="488" spans="1:7" x14ac:dyDescent="0.3">
      <c r="A488" s="10">
        <v>40351</v>
      </c>
      <c r="B488" s="9" t="s">
        <v>8</v>
      </c>
      <c r="C488" s="9" t="s">
        <v>24</v>
      </c>
      <c r="D488" s="9" t="s">
        <v>37</v>
      </c>
      <c r="E488" s="9">
        <v>64.517131424112193</v>
      </c>
      <c r="F488" s="9">
        <v>797.86999814282001</v>
      </c>
      <c r="G488" s="9">
        <f>DATOS!$E488*DATOS!$F488</f>
        <v>51476.283529536471</v>
      </c>
    </row>
    <row r="489" spans="1:7" x14ac:dyDescent="0.3">
      <c r="A489" s="10">
        <v>40309</v>
      </c>
      <c r="B489" s="9" t="s">
        <v>8</v>
      </c>
      <c r="C489" s="9" t="s">
        <v>28</v>
      </c>
      <c r="D489" s="9" t="s">
        <v>31</v>
      </c>
      <c r="E489" s="9">
        <v>64.558270462912802</v>
      </c>
      <c r="F489" s="9">
        <v>797.72352212331396</v>
      </c>
      <c r="G489" s="9">
        <f>DATOS!$E489*DATOS!$F489</f>
        <v>51499.65089586431</v>
      </c>
    </row>
    <row r="490" spans="1:7" x14ac:dyDescent="0.3">
      <c r="A490" s="10">
        <v>41905</v>
      </c>
      <c r="B490" s="9" t="s">
        <v>8</v>
      </c>
      <c r="C490" s="9" t="s">
        <v>25</v>
      </c>
      <c r="D490" s="9" t="s">
        <v>32</v>
      </c>
      <c r="E490" s="9">
        <v>64.599409501713296</v>
      </c>
      <c r="F490" s="9">
        <v>797.57704610380904</v>
      </c>
      <c r="G490" s="9">
        <f>DATOS!$E490*DATOS!$F490</f>
        <v>51523.006210426829</v>
      </c>
    </row>
    <row r="491" spans="1:7" x14ac:dyDescent="0.3">
      <c r="A491" s="10">
        <v>40345</v>
      </c>
      <c r="B491" s="9" t="s">
        <v>8</v>
      </c>
      <c r="C491" s="9" t="s">
        <v>27</v>
      </c>
      <c r="D491" s="9" t="s">
        <v>32</v>
      </c>
      <c r="E491" s="9">
        <v>64.640548540513905</v>
      </c>
      <c r="F491" s="9">
        <v>797.43057008430299</v>
      </c>
      <c r="G491" s="9">
        <f>DATOS!$E491*DATOS!$F491</f>
        <v>51546.349473224065</v>
      </c>
    </row>
    <row r="492" spans="1:7" x14ac:dyDescent="0.3">
      <c r="A492" s="10">
        <v>40559</v>
      </c>
      <c r="B492" s="9" t="s">
        <v>8</v>
      </c>
      <c r="C492" s="9" t="s">
        <v>29</v>
      </c>
      <c r="D492" s="9" t="s">
        <v>37</v>
      </c>
      <c r="E492" s="9">
        <v>64.681687579314499</v>
      </c>
      <c r="F492" s="9">
        <v>797.28409406479705</v>
      </c>
      <c r="G492" s="9">
        <f>DATOS!$E492*DATOS!$F492</f>
        <v>51569.680684255996</v>
      </c>
    </row>
    <row r="493" spans="1:7" x14ac:dyDescent="0.3">
      <c r="A493" s="10">
        <v>40294</v>
      </c>
      <c r="B493" s="9" t="s">
        <v>8</v>
      </c>
      <c r="C493" s="9" t="s">
        <v>24</v>
      </c>
      <c r="D493" s="9" t="s">
        <v>31</v>
      </c>
      <c r="E493" s="9">
        <v>64.722826618114993</v>
      </c>
      <c r="F493" s="9">
        <v>797.13761804529202</v>
      </c>
      <c r="G493" s="9">
        <f>DATOS!$E493*DATOS!$F493</f>
        <v>51592.999843522608</v>
      </c>
    </row>
    <row r="494" spans="1:7" x14ac:dyDescent="0.3">
      <c r="A494" s="10">
        <v>41801</v>
      </c>
      <c r="B494" s="9" t="s">
        <v>8</v>
      </c>
      <c r="C494" s="9" t="s">
        <v>28</v>
      </c>
      <c r="D494" s="9" t="s">
        <v>37</v>
      </c>
      <c r="E494" s="9">
        <v>64.763965656915602</v>
      </c>
      <c r="F494" s="9">
        <v>796.99114202578596</v>
      </c>
      <c r="G494" s="9">
        <f>DATOS!$E494*DATOS!$F494</f>
        <v>51616.306951023944</v>
      </c>
    </row>
    <row r="495" spans="1:7" x14ac:dyDescent="0.3">
      <c r="A495" s="10">
        <v>41170</v>
      </c>
      <c r="B495" s="9" t="s">
        <v>8</v>
      </c>
      <c r="C495" s="9" t="s">
        <v>28</v>
      </c>
      <c r="D495" s="9" t="s">
        <v>33</v>
      </c>
      <c r="E495" s="9">
        <v>64.805104695716196</v>
      </c>
      <c r="F495" s="9">
        <v>796.84466600628002</v>
      </c>
      <c r="G495" s="9">
        <f>DATOS!$E495*DATOS!$F495</f>
        <v>51639.602006759982</v>
      </c>
    </row>
    <row r="496" spans="1:7" x14ac:dyDescent="0.3">
      <c r="A496" s="10">
        <v>41103</v>
      </c>
      <c r="B496" s="9" t="s">
        <v>8</v>
      </c>
      <c r="C496" s="9" t="s">
        <v>27</v>
      </c>
      <c r="D496" s="9" t="s">
        <v>32</v>
      </c>
      <c r="E496" s="9">
        <v>64.846243734516705</v>
      </c>
      <c r="F496" s="9">
        <v>796.69818998677499</v>
      </c>
      <c r="G496" s="9">
        <f>DATOS!$E496*DATOS!$F496</f>
        <v>51662.885010730708</v>
      </c>
    </row>
    <row r="497" spans="1:7" x14ac:dyDescent="0.3">
      <c r="A497" s="10">
        <v>40482</v>
      </c>
      <c r="B497" s="9" t="s">
        <v>8</v>
      </c>
      <c r="C497" s="9" t="s">
        <v>26</v>
      </c>
      <c r="D497" s="9" t="s">
        <v>31</v>
      </c>
      <c r="E497" s="9">
        <v>64.887382773317299</v>
      </c>
      <c r="F497" s="9">
        <v>796.55171396726905</v>
      </c>
      <c r="G497" s="9">
        <f>DATOS!$E497*DATOS!$F497</f>
        <v>51686.155962936144</v>
      </c>
    </row>
    <row r="498" spans="1:7" x14ac:dyDescent="0.3">
      <c r="A498" s="10">
        <v>40219</v>
      </c>
      <c r="B498" s="9" t="s">
        <v>8</v>
      </c>
      <c r="C498" s="9" t="s">
        <v>29</v>
      </c>
      <c r="D498" s="9" t="s">
        <v>30</v>
      </c>
      <c r="E498" s="9">
        <v>64.928521812117907</v>
      </c>
      <c r="F498" s="9">
        <v>796.40523794776402</v>
      </c>
      <c r="G498" s="9">
        <f>DATOS!$E498*DATOS!$F498</f>
        <v>51709.414863376347</v>
      </c>
    </row>
    <row r="499" spans="1:7" x14ac:dyDescent="0.3">
      <c r="A499" s="10">
        <v>41691</v>
      </c>
      <c r="B499" s="9" t="s">
        <v>8</v>
      </c>
      <c r="C499" s="9" t="s">
        <v>27</v>
      </c>
      <c r="D499" s="9" t="s">
        <v>32</v>
      </c>
      <c r="E499" s="9">
        <v>64.969660850918402</v>
      </c>
      <c r="F499" s="9">
        <v>796.25876192825797</v>
      </c>
      <c r="G499" s="9">
        <f>DATOS!$E499*DATOS!$F499</f>
        <v>51732.6617120511</v>
      </c>
    </row>
    <row r="500" spans="1:7" x14ac:dyDescent="0.3">
      <c r="A500" s="10">
        <v>40871</v>
      </c>
      <c r="B500" s="9" t="s">
        <v>8</v>
      </c>
      <c r="C500" s="9" t="s">
        <v>25</v>
      </c>
      <c r="D500" s="9" t="s">
        <v>37</v>
      </c>
      <c r="E500" s="9">
        <v>65.010799889718996</v>
      </c>
      <c r="F500" s="9">
        <v>796.11228590875203</v>
      </c>
      <c r="G500" s="9">
        <f>DATOS!$E500*DATOS!$F500</f>
        <v>51755.896508960635</v>
      </c>
    </row>
    <row r="501" spans="1:7" x14ac:dyDescent="0.3">
      <c r="A501" s="10">
        <v>40933</v>
      </c>
      <c r="B501" s="9" t="s">
        <v>8</v>
      </c>
      <c r="C501" s="9" t="s">
        <v>26</v>
      </c>
      <c r="D501" s="9" t="s">
        <v>32</v>
      </c>
      <c r="E501" s="9">
        <v>65.051938928519604</v>
      </c>
      <c r="F501" s="9">
        <v>795.965809889247</v>
      </c>
      <c r="G501" s="9">
        <f>DATOS!$E501*DATOS!$F501</f>
        <v>51779.119254104939</v>
      </c>
    </row>
    <row r="502" spans="1:7" x14ac:dyDescent="0.3">
      <c r="A502" s="10">
        <v>41149</v>
      </c>
      <c r="B502" s="9" t="s">
        <v>9</v>
      </c>
      <c r="C502" s="9" t="s">
        <v>29</v>
      </c>
      <c r="D502" s="9" t="s">
        <v>32</v>
      </c>
      <c r="E502" s="9">
        <v>65.093077967320099</v>
      </c>
      <c r="F502" s="9">
        <v>795.81933386974094</v>
      </c>
      <c r="G502" s="9">
        <f>DATOS!$E502*DATOS!$F502</f>
        <v>51802.329947483791</v>
      </c>
    </row>
    <row r="503" spans="1:7" x14ac:dyDescent="0.3">
      <c r="A503" s="10">
        <v>40584</v>
      </c>
      <c r="B503" s="9" t="s">
        <v>9</v>
      </c>
      <c r="C503" s="9" t="s">
        <v>24</v>
      </c>
      <c r="D503" s="9" t="s">
        <v>32</v>
      </c>
      <c r="E503" s="9">
        <v>65.134217006120707</v>
      </c>
      <c r="F503" s="9">
        <v>795.672857850235</v>
      </c>
      <c r="G503" s="9">
        <f>DATOS!$E503*DATOS!$F503</f>
        <v>51825.528589097441</v>
      </c>
    </row>
    <row r="504" spans="1:7" x14ac:dyDescent="0.3">
      <c r="A504" s="10">
        <v>40423</v>
      </c>
      <c r="B504" s="9" t="s">
        <v>9</v>
      </c>
      <c r="C504" s="9" t="s">
        <v>29</v>
      </c>
      <c r="D504" s="9" t="s">
        <v>31</v>
      </c>
      <c r="E504" s="9">
        <v>65.175356044921301</v>
      </c>
      <c r="F504" s="9">
        <v>795.52638183072997</v>
      </c>
      <c r="G504" s="9">
        <f>DATOS!$E504*DATOS!$F504</f>
        <v>51848.715178945837</v>
      </c>
    </row>
    <row r="505" spans="1:7" x14ac:dyDescent="0.3">
      <c r="A505" s="10">
        <v>40206</v>
      </c>
      <c r="B505" s="9" t="s">
        <v>9</v>
      </c>
      <c r="C505" s="9" t="s">
        <v>25</v>
      </c>
      <c r="D505" s="9" t="s">
        <v>32</v>
      </c>
      <c r="E505" s="9">
        <v>65.216495083721796</v>
      </c>
      <c r="F505" s="9">
        <v>795.37990581122403</v>
      </c>
      <c r="G505" s="9">
        <f>DATOS!$E505*DATOS!$F505</f>
        <v>51871.889717028796</v>
      </c>
    </row>
    <row r="506" spans="1:7" x14ac:dyDescent="0.3">
      <c r="A506" s="10">
        <v>40273</v>
      </c>
      <c r="B506" s="9" t="s">
        <v>5</v>
      </c>
      <c r="C506" s="9" t="s">
        <v>24</v>
      </c>
      <c r="D506" s="9" t="s">
        <v>33</v>
      </c>
      <c r="E506" s="9">
        <v>65.257634122522404</v>
      </c>
      <c r="F506" s="9">
        <v>795.233429791719</v>
      </c>
      <c r="G506" s="9">
        <f>DATOS!$E506*DATOS!$F506</f>
        <v>51895.052203346604</v>
      </c>
    </row>
    <row r="507" spans="1:7" x14ac:dyDescent="0.3">
      <c r="A507" s="10">
        <v>41779</v>
      </c>
      <c r="B507" s="9" t="s">
        <v>5</v>
      </c>
      <c r="C507" s="9" t="s">
        <v>27</v>
      </c>
      <c r="D507" s="9" t="s">
        <v>37</v>
      </c>
      <c r="E507" s="9">
        <v>65.298773161322998</v>
      </c>
      <c r="F507" s="9">
        <v>795.08695377221295</v>
      </c>
      <c r="G507" s="9">
        <f>DATOS!$E507*DATOS!$F507</f>
        <v>51918.202637899041</v>
      </c>
    </row>
    <row r="508" spans="1:7" x14ac:dyDescent="0.3">
      <c r="A508" s="10">
        <v>41583</v>
      </c>
      <c r="B508" s="9" t="s">
        <v>5</v>
      </c>
      <c r="C508" s="9" t="s">
        <v>28</v>
      </c>
      <c r="D508" s="9" t="s">
        <v>37</v>
      </c>
      <c r="E508" s="9">
        <v>65.339912200123507</v>
      </c>
      <c r="F508" s="9">
        <v>794.94047775270701</v>
      </c>
      <c r="G508" s="9">
        <f>DATOS!$E508*DATOS!$F508</f>
        <v>51941.341020686108</v>
      </c>
    </row>
    <row r="509" spans="1:7" x14ac:dyDescent="0.3">
      <c r="A509" s="10">
        <v>41752</v>
      </c>
      <c r="B509" s="9" t="s">
        <v>5</v>
      </c>
      <c r="C509" s="9" t="s">
        <v>26</v>
      </c>
      <c r="D509" s="9" t="s">
        <v>31</v>
      </c>
      <c r="E509" s="9">
        <v>65.381051238924101</v>
      </c>
      <c r="F509" s="9">
        <v>794.79400173320198</v>
      </c>
      <c r="G509" s="9">
        <f>DATOS!$E509*DATOS!$F509</f>
        <v>51964.467351708008</v>
      </c>
    </row>
    <row r="510" spans="1:7" x14ac:dyDescent="0.3">
      <c r="A510" s="10">
        <v>40582</v>
      </c>
      <c r="B510" s="9" t="s">
        <v>5</v>
      </c>
      <c r="C510" s="9" t="s">
        <v>24</v>
      </c>
      <c r="D510" s="9" t="s">
        <v>31</v>
      </c>
      <c r="E510" s="9">
        <v>65.422190277724695</v>
      </c>
      <c r="F510" s="9">
        <v>794.64752571369604</v>
      </c>
      <c r="G510" s="9">
        <f>DATOS!$E510*DATOS!$F510</f>
        <v>51987.581630964552</v>
      </c>
    </row>
    <row r="511" spans="1:7" x14ac:dyDescent="0.3">
      <c r="A511" s="10">
        <v>41171</v>
      </c>
      <c r="B511" s="9" t="s">
        <v>5</v>
      </c>
      <c r="C511" s="9" t="s">
        <v>28</v>
      </c>
      <c r="D511" s="9" t="s">
        <v>31</v>
      </c>
      <c r="E511" s="9">
        <v>65.463329316525204</v>
      </c>
      <c r="F511" s="9">
        <v>794.50104969418999</v>
      </c>
      <c r="G511" s="9">
        <f>DATOS!$E511*DATOS!$F511</f>
        <v>52010.683858455719</v>
      </c>
    </row>
    <row r="512" spans="1:7" x14ac:dyDescent="0.3">
      <c r="A512" s="10">
        <v>40576</v>
      </c>
      <c r="B512" s="9" t="s">
        <v>5</v>
      </c>
      <c r="C512" s="9" t="s">
        <v>28</v>
      </c>
      <c r="D512" s="9" t="s">
        <v>32</v>
      </c>
      <c r="E512" s="9">
        <v>65.504468355325798</v>
      </c>
      <c r="F512" s="9">
        <v>794.35457367468496</v>
      </c>
      <c r="G512" s="9">
        <f>DATOS!$E512*DATOS!$F512</f>
        <v>52033.774034181719</v>
      </c>
    </row>
    <row r="513" spans="1:7" x14ac:dyDescent="0.3">
      <c r="A513" s="10">
        <v>40371</v>
      </c>
      <c r="B513" s="9" t="s">
        <v>5</v>
      </c>
      <c r="C513" s="9" t="s">
        <v>28</v>
      </c>
      <c r="D513" s="9" t="s">
        <v>30</v>
      </c>
      <c r="E513" s="9">
        <v>65.545607394126407</v>
      </c>
      <c r="F513" s="9">
        <v>794.20809765517902</v>
      </c>
      <c r="G513" s="9">
        <f>DATOS!$E513*DATOS!$F513</f>
        <v>52056.85215814237</v>
      </c>
    </row>
    <row r="514" spans="1:7" x14ac:dyDescent="0.3">
      <c r="A514" s="10">
        <v>40234</v>
      </c>
      <c r="B514" s="9" t="s">
        <v>5</v>
      </c>
      <c r="C514" s="9" t="s">
        <v>29</v>
      </c>
      <c r="D514" s="9" t="s">
        <v>33</v>
      </c>
      <c r="E514" s="9">
        <v>65.586746432926901</v>
      </c>
      <c r="F514" s="9">
        <v>794.06162163567296</v>
      </c>
      <c r="G514" s="9">
        <f>DATOS!$E514*DATOS!$F514</f>
        <v>52079.918230337622</v>
      </c>
    </row>
    <row r="515" spans="1:7" x14ac:dyDescent="0.3">
      <c r="A515" s="10">
        <v>40407</v>
      </c>
      <c r="B515" s="9" t="s">
        <v>5</v>
      </c>
      <c r="C515" s="9" t="s">
        <v>29</v>
      </c>
      <c r="D515" s="9" t="s">
        <v>31</v>
      </c>
      <c r="E515" s="9">
        <v>65.627885471727495</v>
      </c>
      <c r="F515" s="9">
        <v>793.91514561616805</v>
      </c>
      <c r="G515" s="9">
        <f>DATOS!$E515*DATOS!$F515</f>
        <v>52102.972250767736</v>
      </c>
    </row>
    <row r="516" spans="1:7" x14ac:dyDescent="0.3">
      <c r="A516" s="10">
        <v>40981</v>
      </c>
      <c r="B516" s="9" t="s">
        <v>5</v>
      </c>
      <c r="C516" s="9" t="s">
        <v>25</v>
      </c>
      <c r="D516" s="9" t="s">
        <v>31</v>
      </c>
      <c r="E516" s="9">
        <v>65.669024510528104</v>
      </c>
      <c r="F516" s="9">
        <v>793.76866959666199</v>
      </c>
      <c r="G516" s="9">
        <f>DATOS!$E516*DATOS!$F516</f>
        <v>52126.01421943248</v>
      </c>
    </row>
    <row r="517" spans="1:7" x14ac:dyDescent="0.3">
      <c r="A517" s="10">
        <v>41358</v>
      </c>
      <c r="B517" s="9" t="s">
        <v>5</v>
      </c>
      <c r="C517" s="9" t="s">
        <v>29</v>
      </c>
      <c r="D517" s="9" t="s">
        <v>37</v>
      </c>
      <c r="E517" s="9">
        <v>65.710163549328598</v>
      </c>
      <c r="F517" s="9">
        <v>793.62219357715605</v>
      </c>
      <c r="G517" s="9">
        <f>DATOS!$E517*DATOS!$F517</f>
        <v>52149.044136331846</v>
      </c>
    </row>
    <row r="518" spans="1:7" x14ac:dyDescent="0.3">
      <c r="A518" s="10">
        <v>41519</v>
      </c>
      <c r="B518" s="9" t="s">
        <v>5</v>
      </c>
      <c r="C518" s="9" t="s">
        <v>24</v>
      </c>
      <c r="D518" s="9" t="s">
        <v>32</v>
      </c>
      <c r="E518" s="9">
        <v>65.751302588129207</v>
      </c>
      <c r="F518" s="9">
        <v>793.47571755765102</v>
      </c>
      <c r="G518" s="9">
        <f>DATOS!$E518*DATOS!$F518</f>
        <v>52172.06200146606</v>
      </c>
    </row>
    <row r="519" spans="1:7" x14ac:dyDescent="0.3">
      <c r="A519" s="10">
        <v>40189</v>
      </c>
      <c r="B519" s="9" t="s">
        <v>5</v>
      </c>
      <c r="C519" s="9" t="s">
        <v>28</v>
      </c>
      <c r="D519" s="9" t="s">
        <v>32</v>
      </c>
      <c r="E519" s="9">
        <v>65.792441626929801</v>
      </c>
      <c r="F519" s="9">
        <v>793.32924153814497</v>
      </c>
      <c r="G519" s="9">
        <f>DATOS!$E519*DATOS!$F519</f>
        <v>52195.067814834896</v>
      </c>
    </row>
    <row r="520" spans="1:7" x14ac:dyDescent="0.3">
      <c r="A520" s="10">
        <v>41291</v>
      </c>
      <c r="B520" s="9" t="s">
        <v>5</v>
      </c>
      <c r="C520" s="9" t="s">
        <v>29</v>
      </c>
      <c r="D520" s="9" t="s">
        <v>32</v>
      </c>
      <c r="E520" s="9">
        <v>65.833580665730295</v>
      </c>
      <c r="F520" s="9">
        <v>793.18276551863903</v>
      </c>
      <c r="G520" s="9">
        <f>DATOS!$E520*DATOS!$F520</f>
        <v>52218.061576438362</v>
      </c>
    </row>
    <row r="521" spans="1:7" x14ac:dyDescent="0.3">
      <c r="A521" s="10">
        <v>40355</v>
      </c>
      <c r="B521" s="9" t="s">
        <v>5</v>
      </c>
      <c r="C521" s="9" t="s">
        <v>28</v>
      </c>
      <c r="D521" s="9" t="s">
        <v>32</v>
      </c>
      <c r="E521" s="9">
        <v>65.874719704530904</v>
      </c>
      <c r="F521" s="9">
        <v>793.036289499134</v>
      </c>
      <c r="G521" s="9">
        <f>DATOS!$E521*DATOS!$F521</f>
        <v>52241.043286276676</v>
      </c>
    </row>
    <row r="522" spans="1:7" x14ac:dyDescent="0.3">
      <c r="A522" s="10">
        <v>41034</v>
      </c>
      <c r="B522" s="9" t="s">
        <v>5</v>
      </c>
      <c r="C522" s="9" t="s">
        <v>25</v>
      </c>
      <c r="D522" s="9" t="s">
        <v>32</v>
      </c>
      <c r="E522" s="9">
        <v>65.915858743331498</v>
      </c>
      <c r="F522" s="9">
        <v>792.88981347962795</v>
      </c>
      <c r="G522" s="9">
        <f>DATOS!$E522*DATOS!$F522</f>
        <v>52264.012944349612</v>
      </c>
    </row>
    <row r="523" spans="1:7" x14ac:dyDescent="0.3">
      <c r="A523" s="10">
        <v>41346</v>
      </c>
      <c r="B523" s="9" t="s">
        <v>5</v>
      </c>
      <c r="C523" s="9" t="s">
        <v>28</v>
      </c>
      <c r="D523" s="9" t="s">
        <v>32</v>
      </c>
      <c r="E523" s="9">
        <v>65.956997782132007</v>
      </c>
      <c r="F523" s="9">
        <v>792.74333746012303</v>
      </c>
      <c r="G523" s="9">
        <f>DATOS!$E523*DATOS!$F523</f>
        <v>52286.970550657257</v>
      </c>
    </row>
    <row r="524" spans="1:7" x14ac:dyDescent="0.3">
      <c r="A524" s="10">
        <v>41717</v>
      </c>
      <c r="B524" s="9" t="s">
        <v>5</v>
      </c>
      <c r="C524" s="9" t="s">
        <v>24</v>
      </c>
      <c r="D524" s="9" t="s">
        <v>37</v>
      </c>
      <c r="E524" s="9">
        <v>65.998136820932601</v>
      </c>
      <c r="F524" s="9">
        <v>792.59686144061698</v>
      </c>
      <c r="G524" s="9">
        <f>DATOS!$E524*DATOS!$F524</f>
        <v>52309.916105199598</v>
      </c>
    </row>
    <row r="525" spans="1:7" x14ac:dyDescent="0.3">
      <c r="A525" s="10">
        <v>40742</v>
      </c>
      <c r="B525" s="9" t="s">
        <v>5</v>
      </c>
      <c r="C525" s="9" t="s">
        <v>25</v>
      </c>
      <c r="D525" s="9" t="s">
        <v>32</v>
      </c>
      <c r="E525" s="9">
        <v>66.039275859733195</v>
      </c>
      <c r="F525" s="9">
        <v>792.45038542111104</v>
      </c>
      <c r="G525" s="9">
        <f>DATOS!$E525*DATOS!$F525</f>
        <v>52332.849607976641</v>
      </c>
    </row>
    <row r="526" spans="1:7" x14ac:dyDescent="0.3">
      <c r="A526" s="10">
        <v>40359</v>
      </c>
      <c r="B526" s="9" t="s">
        <v>5</v>
      </c>
      <c r="C526" s="9" t="s">
        <v>24</v>
      </c>
      <c r="D526" s="9" t="s">
        <v>32</v>
      </c>
      <c r="E526" s="9">
        <v>66.080414898533704</v>
      </c>
      <c r="F526" s="9">
        <v>792.30390940160601</v>
      </c>
      <c r="G526" s="9">
        <f>DATOS!$E526*DATOS!$F526</f>
        <v>52355.771058988386</v>
      </c>
    </row>
    <row r="527" spans="1:7" x14ac:dyDescent="0.3">
      <c r="A527" s="10">
        <v>41458</v>
      </c>
      <c r="B527" s="9" t="s">
        <v>5</v>
      </c>
      <c r="C527" s="9" t="s">
        <v>26</v>
      </c>
      <c r="D527" s="9" t="s">
        <v>32</v>
      </c>
      <c r="E527" s="9">
        <v>66.121553937334298</v>
      </c>
      <c r="F527" s="9">
        <v>792.15743338209995</v>
      </c>
      <c r="G527" s="9">
        <f>DATOS!$E527*DATOS!$F527</f>
        <v>52378.68045823482</v>
      </c>
    </row>
    <row r="528" spans="1:7" x14ac:dyDescent="0.3">
      <c r="A528" s="10">
        <v>41701</v>
      </c>
      <c r="B528" s="9" t="s">
        <v>5</v>
      </c>
      <c r="C528" s="9" t="s">
        <v>24</v>
      </c>
      <c r="D528" s="9" t="s">
        <v>32</v>
      </c>
      <c r="E528" s="9">
        <v>66.162692976134906</v>
      </c>
      <c r="F528" s="9">
        <v>792.01095736259401</v>
      </c>
      <c r="G528" s="9">
        <f>DATOS!$E528*DATOS!$F528</f>
        <v>52401.577805715984</v>
      </c>
    </row>
    <row r="529" spans="1:7" x14ac:dyDescent="0.3">
      <c r="A529" s="10">
        <v>40799</v>
      </c>
      <c r="B529" s="9" t="s">
        <v>5</v>
      </c>
      <c r="C529" s="9" t="s">
        <v>25</v>
      </c>
      <c r="D529" s="9" t="s">
        <v>31</v>
      </c>
      <c r="E529" s="9">
        <v>66.203832021935398</v>
      </c>
      <c r="F529" s="9">
        <v>791.86448134308898</v>
      </c>
      <c r="G529" s="9">
        <f>DATOS!$E529*DATOS!$F529</f>
        <v>52424.463106974858</v>
      </c>
    </row>
    <row r="530" spans="1:7" x14ac:dyDescent="0.3">
      <c r="A530" s="10">
        <v>41920</v>
      </c>
      <c r="B530" s="9" t="s">
        <v>5</v>
      </c>
      <c r="C530" s="9" t="s">
        <v>29</v>
      </c>
      <c r="D530" s="9" t="s">
        <v>37</v>
      </c>
      <c r="E530" s="9">
        <v>66.244971053735995</v>
      </c>
      <c r="F530" s="9">
        <v>791.71800532358304</v>
      </c>
      <c r="G530" s="9">
        <f>DATOS!$E530*DATOS!$F530</f>
        <v>52447.336345382362</v>
      </c>
    </row>
    <row r="531" spans="1:7" x14ac:dyDescent="0.3">
      <c r="A531" s="10">
        <v>41659</v>
      </c>
      <c r="B531" s="9" t="s">
        <v>5</v>
      </c>
      <c r="C531" s="9" t="s">
        <v>27</v>
      </c>
      <c r="D531" s="9" t="s">
        <v>31</v>
      </c>
      <c r="E531" s="9">
        <v>66.286110092536603</v>
      </c>
      <c r="F531" s="9">
        <v>791.57152930407801</v>
      </c>
      <c r="G531" s="9">
        <f>DATOS!$E531*DATOS!$F531</f>
        <v>52470.197537567678</v>
      </c>
    </row>
    <row r="532" spans="1:7" x14ac:dyDescent="0.3">
      <c r="A532" s="10">
        <v>41265</v>
      </c>
      <c r="B532" s="9" t="s">
        <v>5</v>
      </c>
      <c r="C532" s="9" t="s">
        <v>27</v>
      </c>
      <c r="D532" s="9" t="s">
        <v>31</v>
      </c>
      <c r="E532" s="9">
        <v>66.327249131337098</v>
      </c>
      <c r="F532" s="9">
        <v>791.42505328457196</v>
      </c>
      <c r="G532" s="9">
        <f>DATOS!$E532*DATOS!$F532</f>
        <v>52493.046677987542</v>
      </c>
    </row>
    <row r="533" spans="1:7" x14ac:dyDescent="0.3">
      <c r="A533" s="10">
        <v>40763</v>
      </c>
      <c r="B533" s="9" t="s">
        <v>5</v>
      </c>
      <c r="C533" s="9" t="s">
        <v>26</v>
      </c>
      <c r="D533" s="9" t="s">
        <v>32</v>
      </c>
      <c r="E533" s="9">
        <v>66.368388170137706</v>
      </c>
      <c r="F533" s="9">
        <v>791.27857726506602</v>
      </c>
      <c r="G533" s="9">
        <f>DATOS!$E533*DATOS!$F533</f>
        <v>52515.883766642204</v>
      </c>
    </row>
    <row r="534" spans="1:7" x14ac:dyDescent="0.3">
      <c r="A534" s="10">
        <v>41254</v>
      </c>
      <c r="B534" s="9" t="s">
        <v>5</v>
      </c>
      <c r="C534" s="9" t="s">
        <v>25</v>
      </c>
      <c r="D534" s="9" t="s">
        <v>32</v>
      </c>
      <c r="E534" s="9">
        <v>66.4095272089383</v>
      </c>
      <c r="F534" s="9">
        <v>791.13210124556099</v>
      </c>
      <c r="G534" s="9">
        <f>DATOS!$E534*DATOS!$F534</f>
        <v>52538.708803531612</v>
      </c>
    </row>
    <row r="535" spans="1:7" x14ac:dyDescent="0.3">
      <c r="A535" s="10">
        <v>40664</v>
      </c>
      <c r="B535" s="9" t="s">
        <v>5</v>
      </c>
      <c r="C535" s="9" t="s">
        <v>25</v>
      </c>
      <c r="D535" s="9" t="s">
        <v>33</v>
      </c>
      <c r="E535" s="9">
        <v>66.450666247738795</v>
      </c>
      <c r="F535" s="9">
        <v>790.98562522605505</v>
      </c>
      <c r="G535" s="9">
        <f>DATOS!$E535*DATOS!$F535</f>
        <v>52561.521788655584</v>
      </c>
    </row>
    <row r="536" spans="1:7" x14ac:dyDescent="0.3">
      <c r="A536" s="10">
        <v>40830</v>
      </c>
      <c r="B536" s="9" t="s">
        <v>5</v>
      </c>
      <c r="C536" s="9" t="s">
        <v>25</v>
      </c>
      <c r="D536" s="9" t="s">
        <v>31</v>
      </c>
      <c r="E536" s="9">
        <v>66.491805286539403</v>
      </c>
      <c r="F536" s="9">
        <v>790.839149206549</v>
      </c>
      <c r="G536" s="9">
        <f>DATOS!$E536*DATOS!$F536</f>
        <v>52584.322722014338</v>
      </c>
    </row>
    <row r="537" spans="1:7" x14ac:dyDescent="0.3">
      <c r="A537" s="10">
        <v>41089</v>
      </c>
      <c r="B537" s="9" t="s">
        <v>5</v>
      </c>
      <c r="C537" s="9" t="s">
        <v>24</v>
      </c>
      <c r="D537" s="9" t="s">
        <v>33</v>
      </c>
      <c r="E537" s="9">
        <v>66.532944325339997</v>
      </c>
      <c r="F537" s="9">
        <v>790.69267318704397</v>
      </c>
      <c r="G537" s="9">
        <f>DATOS!$E537*DATOS!$F537</f>
        <v>52607.111603607853</v>
      </c>
    </row>
    <row r="538" spans="1:7" x14ac:dyDescent="0.3">
      <c r="A538" s="10">
        <v>41934</v>
      </c>
      <c r="B538" s="9" t="s">
        <v>5</v>
      </c>
      <c r="C538" s="9" t="s">
        <v>29</v>
      </c>
      <c r="D538" s="9" t="s">
        <v>37</v>
      </c>
      <c r="E538" s="9">
        <v>66.574083364140506</v>
      </c>
      <c r="F538" s="9">
        <v>790.54619716753803</v>
      </c>
      <c r="G538" s="9">
        <f>DATOS!$E538*DATOS!$F538</f>
        <v>52629.888433435932</v>
      </c>
    </row>
    <row r="539" spans="1:7" x14ac:dyDescent="0.3">
      <c r="A539" s="10">
        <v>40750</v>
      </c>
      <c r="B539" s="9" t="s">
        <v>5</v>
      </c>
      <c r="C539" s="9" t="s">
        <v>25</v>
      </c>
      <c r="D539" s="9" t="s">
        <v>31</v>
      </c>
      <c r="E539" s="9">
        <v>66.6152224029411</v>
      </c>
      <c r="F539" s="9">
        <v>790.39972114803197</v>
      </c>
      <c r="G539" s="9">
        <f>DATOS!$E539*DATOS!$F539</f>
        <v>52652.653211498779</v>
      </c>
    </row>
    <row r="540" spans="1:7" x14ac:dyDescent="0.3">
      <c r="A540" s="10">
        <v>40905</v>
      </c>
      <c r="B540" s="9" t="s">
        <v>5</v>
      </c>
      <c r="C540" s="9" t="s">
        <v>28</v>
      </c>
      <c r="D540" s="9" t="s">
        <v>31</v>
      </c>
      <c r="E540" s="9">
        <v>66.656361441741694</v>
      </c>
      <c r="F540" s="9">
        <v>790.25324512852706</v>
      </c>
      <c r="G540" s="9">
        <f>DATOS!$E540*DATOS!$F540</f>
        <v>52675.4059377964</v>
      </c>
    </row>
    <row r="541" spans="1:7" x14ac:dyDescent="0.3">
      <c r="A541" s="10">
        <v>40939</v>
      </c>
      <c r="B541" s="9" t="s">
        <v>5</v>
      </c>
      <c r="C541" s="9" t="s">
        <v>29</v>
      </c>
      <c r="D541" s="9" t="s">
        <v>31</v>
      </c>
      <c r="E541" s="9">
        <v>66.697500480542203</v>
      </c>
      <c r="F541" s="9">
        <v>790.106769109021</v>
      </c>
      <c r="G541" s="9">
        <f>DATOS!$E541*DATOS!$F541</f>
        <v>52698.146612328579</v>
      </c>
    </row>
    <row r="542" spans="1:7" x14ac:dyDescent="0.3">
      <c r="A542" s="10">
        <v>40505</v>
      </c>
      <c r="B542" s="9" t="s">
        <v>5</v>
      </c>
      <c r="C542" s="9" t="s">
        <v>25</v>
      </c>
      <c r="D542" s="9" t="s">
        <v>31</v>
      </c>
      <c r="E542" s="9">
        <v>66.738639519342797</v>
      </c>
      <c r="F542" s="9">
        <v>789.96029308951495</v>
      </c>
      <c r="G542" s="9">
        <f>DATOS!$E542*DATOS!$F542</f>
        <v>52720.875235095518</v>
      </c>
    </row>
    <row r="543" spans="1:7" x14ac:dyDescent="0.3">
      <c r="A543" s="10">
        <v>40745</v>
      </c>
      <c r="B543" s="9" t="s">
        <v>5</v>
      </c>
      <c r="C543" s="9" t="s">
        <v>27</v>
      </c>
      <c r="D543" s="9" t="s">
        <v>32</v>
      </c>
      <c r="E543" s="9">
        <v>66.779778558143406</v>
      </c>
      <c r="F543" s="9">
        <v>789.81381707001003</v>
      </c>
      <c r="G543" s="9">
        <f>DATOS!$E543*DATOS!$F543</f>
        <v>52743.591806097254</v>
      </c>
    </row>
    <row r="544" spans="1:7" x14ac:dyDescent="0.3">
      <c r="A544" s="10">
        <v>41485</v>
      </c>
      <c r="B544" s="9" t="s">
        <v>5</v>
      </c>
      <c r="C544" s="9" t="s">
        <v>27</v>
      </c>
      <c r="D544" s="9" t="s">
        <v>37</v>
      </c>
      <c r="E544" s="9">
        <v>66.8209175969439</v>
      </c>
      <c r="F544" s="9">
        <v>789.66734105050398</v>
      </c>
      <c r="G544" s="9">
        <f>DATOS!$E544*DATOS!$F544</f>
        <v>52766.296325333518</v>
      </c>
    </row>
    <row r="545" spans="1:7" x14ac:dyDescent="0.3">
      <c r="A545" s="10">
        <v>41521</v>
      </c>
      <c r="B545" s="9" t="s">
        <v>5</v>
      </c>
      <c r="C545" s="9" t="s">
        <v>26</v>
      </c>
      <c r="D545" s="9" t="s">
        <v>32</v>
      </c>
      <c r="E545" s="9">
        <v>66.862056635744494</v>
      </c>
      <c r="F545" s="9">
        <v>789.52086503099804</v>
      </c>
      <c r="G545" s="9">
        <f>DATOS!$E545*DATOS!$F545</f>
        <v>52788.988792804579</v>
      </c>
    </row>
    <row r="546" spans="1:7" x14ac:dyDescent="0.3">
      <c r="A546" s="10">
        <v>41708</v>
      </c>
      <c r="B546" s="9" t="s">
        <v>5</v>
      </c>
      <c r="C546" s="9" t="s">
        <v>28</v>
      </c>
      <c r="D546" s="9" t="s">
        <v>31</v>
      </c>
      <c r="E546" s="9">
        <v>66.903195674545103</v>
      </c>
      <c r="F546" s="9">
        <v>789.37438901149301</v>
      </c>
      <c r="G546" s="9">
        <f>DATOS!$E546*DATOS!$F546</f>
        <v>52811.6692085104</v>
      </c>
    </row>
    <row r="547" spans="1:7" x14ac:dyDescent="0.3">
      <c r="A547" s="10">
        <v>40751</v>
      </c>
      <c r="B547" s="9" t="s">
        <v>5</v>
      </c>
      <c r="C547" s="9" t="s">
        <v>26</v>
      </c>
      <c r="D547" s="9" t="s">
        <v>31</v>
      </c>
      <c r="E547" s="9">
        <v>66.944334713345597</v>
      </c>
      <c r="F547" s="9">
        <v>789.22791299198695</v>
      </c>
      <c r="G547" s="9">
        <f>DATOS!$E547*DATOS!$F547</f>
        <v>52834.337572450771</v>
      </c>
    </row>
    <row r="548" spans="1:7" x14ac:dyDescent="0.3">
      <c r="A548" s="10">
        <v>41764</v>
      </c>
      <c r="B548" s="9" t="s">
        <v>5</v>
      </c>
      <c r="C548" s="9" t="s">
        <v>27</v>
      </c>
      <c r="D548" s="9" t="s">
        <v>37</v>
      </c>
      <c r="E548" s="9">
        <v>66.985473752146206</v>
      </c>
      <c r="F548" s="9">
        <v>789.08143697248204</v>
      </c>
      <c r="G548" s="9">
        <f>DATOS!$E548*DATOS!$F548</f>
        <v>52856.993884626005</v>
      </c>
    </row>
    <row r="549" spans="1:7" x14ac:dyDescent="0.3">
      <c r="A549" s="10">
        <v>41416</v>
      </c>
      <c r="B549" s="9" t="s">
        <v>5</v>
      </c>
      <c r="C549" s="9" t="s">
        <v>29</v>
      </c>
      <c r="D549" s="9" t="s">
        <v>31</v>
      </c>
      <c r="E549" s="9">
        <v>67.0266127909468</v>
      </c>
      <c r="F549" s="9">
        <v>788.93496095297598</v>
      </c>
      <c r="G549" s="9">
        <f>DATOS!$E549*DATOS!$F549</f>
        <v>52879.638145035853</v>
      </c>
    </row>
    <row r="550" spans="1:7" x14ac:dyDescent="0.3">
      <c r="A550" s="10">
        <v>40544</v>
      </c>
      <c r="B550" s="9" t="s">
        <v>5</v>
      </c>
      <c r="C550" s="9" t="s">
        <v>26</v>
      </c>
      <c r="D550" s="9" t="s">
        <v>31</v>
      </c>
      <c r="E550" s="9">
        <v>67.067751829747294</v>
      </c>
      <c r="F550" s="9">
        <v>788.78848493347004</v>
      </c>
      <c r="G550" s="9">
        <f>DATOS!$E550*DATOS!$F550</f>
        <v>52902.270353680331</v>
      </c>
    </row>
    <row r="551" spans="1:7" x14ac:dyDescent="0.3">
      <c r="A551" s="10">
        <v>41438</v>
      </c>
      <c r="B551" s="9" t="s">
        <v>5</v>
      </c>
      <c r="C551" s="9" t="s">
        <v>26</v>
      </c>
      <c r="D551" s="9" t="s">
        <v>31</v>
      </c>
      <c r="E551" s="9">
        <v>67.108890868547903</v>
      </c>
      <c r="F551" s="9">
        <v>788.64200891396501</v>
      </c>
      <c r="G551" s="9">
        <f>DATOS!$E551*DATOS!$F551</f>
        <v>52924.890510559657</v>
      </c>
    </row>
    <row r="552" spans="1:7" x14ac:dyDescent="0.3">
      <c r="A552" s="10">
        <v>40907</v>
      </c>
      <c r="B552" s="9" t="s">
        <v>5</v>
      </c>
      <c r="C552" s="9" t="s">
        <v>26</v>
      </c>
      <c r="D552" s="9" t="s">
        <v>31</v>
      </c>
      <c r="E552" s="9">
        <v>67.150029907348497</v>
      </c>
      <c r="F552" s="9">
        <v>788.49553289445896</v>
      </c>
      <c r="G552" s="9">
        <f>DATOS!$E552*DATOS!$F552</f>
        <v>52947.498615673612</v>
      </c>
    </row>
    <row r="553" spans="1:7" x14ac:dyDescent="0.3">
      <c r="A553" s="10">
        <v>41124</v>
      </c>
      <c r="B553" s="9" t="s">
        <v>5</v>
      </c>
      <c r="C553" s="9" t="s">
        <v>25</v>
      </c>
      <c r="D553" s="9" t="s">
        <v>33</v>
      </c>
      <c r="E553" s="9">
        <v>67.191168946149006</v>
      </c>
      <c r="F553" s="9">
        <v>788.34905687495302</v>
      </c>
      <c r="G553" s="9">
        <f>DATOS!$E553*DATOS!$F553</f>
        <v>52970.094669022197</v>
      </c>
    </row>
    <row r="554" spans="1:7" x14ac:dyDescent="0.3">
      <c r="A554" s="10">
        <v>40474</v>
      </c>
      <c r="B554" s="9" t="s">
        <v>5</v>
      </c>
      <c r="C554" s="9" t="s">
        <v>29</v>
      </c>
      <c r="D554" s="9" t="s">
        <v>37</v>
      </c>
      <c r="E554" s="9">
        <v>67.2323079849496</v>
      </c>
      <c r="F554" s="9">
        <v>788.20258085544799</v>
      </c>
      <c r="G554" s="9">
        <f>DATOS!$E554*DATOS!$F554</f>
        <v>52992.678670605615</v>
      </c>
    </row>
    <row r="555" spans="1:7" x14ac:dyDescent="0.3">
      <c r="A555" s="10">
        <v>40245</v>
      </c>
      <c r="B555" s="9" t="s">
        <v>5</v>
      </c>
      <c r="C555" s="9" t="s">
        <v>25</v>
      </c>
      <c r="D555" s="9" t="s">
        <v>32</v>
      </c>
      <c r="E555" s="9">
        <v>67.273447023750194</v>
      </c>
      <c r="F555" s="9">
        <v>788.05610483594205</v>
      </c>
      <c r="G555" s="9">
        <f>DATOS!$E555*DATOS!$F555</f>
        <v>53015.250620423678</v>
      </c>
    </row>
    <row r="556" spans="1:7" x14ac:dyDescent="0.3">
      <c r="A556" s="10">
        <v>41645</v>
      </c>
      <c r="B556" s="9" t="s">
        <v>5</v>
      </c>
      <c r="C556" s="9" t="s">
        <v>27</v>
      </c>
      <c r="D556" s="9" t="s">
        <v>37</v>
      </c>
      <c r="E556" s="9">
        <v>67.314586062550703</v>
      </c>
      <c r="F556" s="9">
        <v>787.909628816436</v>
      </c>
      <c r="G556" s="9">
        <f>DATOS!$E556*DATOS!$F556</f>
        <v>53037.810518476363</v>
      </c>
    </row>
    <row r="557" spans="1:7" x14ac:dyDescent="0.3">
      <c r="A557" s="10">
        <v>41776</v>
      </c>
      <c r="B557" s="9" t="s">
        <v>5</v>
      </c>
      <c r="C557" s="9" t="s">
        <v>27</v>
      </c>
      <c r="D557" s="9" t="s">
        <v>37</v>
      </c>
      <c r="E557" s="9">
        <v>67.355725101351297</v>
      </c>
      <c r="F557" s="9">
        <v>787.76315279693097</v>
      </c>
      <c r="G557" s="9">
        <f>DATOS!$E557*DATOS!$F557</f>
        <v>53060.358364763881</v>
      </c>
    </row>
    <row r="558" spans="1:7" x14ac:dyDescent="0.3">
      <c r="A558" s="10">
        <v>40620</v>
      </c>
      <c r="B558" s="9" t="s">
        <v>5</v>
      </c>
      <c r="C558" s="9" t="s">
        <v>24</v>
      </c>
      <c r="D558" s="9" t="s">
        <v>37</v>
      </c>
      <c r="E558" s="9">
        <v>67.396864140151905</v>
      </c>
      <c r="F558" s="9">
        <v>787.61667677742503</v>
      </c>
      <c r="G558" s="9">
        <f>DATOS!$E558*DATOS!$F558</f>
        <v>53082.89415928605</v>
      </c>
    </row>
    <row r="559" spans="1:7" x14ac:dyDescent="0.3">
      <c r="A559" s="10">
        <v>41090</v>
      </c>
      <c r="B559" s="9" t="s">
        <v>5</v>
      </c>
      <c r="C559" s="9" t="s">
        <v>28</v>
      </c>
      <c r="D559" s="9" t="s">
        <v>32</v>
      </c>
      <c r="E559" s="9">
        <v>67.4380031789524</v>
      </c>
      <c r="F559" s="9">
        <v>787.47020075792</v>
      </c>
      <c r="G559" s="9">
        <f>DATOS!$E559*DATOS!$F559</f>
        <v>53105.417902042893</v>
      </c>
    </row>
    <row r="560" spans="1:7" x14ac:dyDescent="0.3">
      <c r="A560" s="10">
        <v>41177</v>
      </c>
      <c r="B560" s="9" t="s">
        <v>5</v>
      </c>
      <c r="C560" s="9" t="s">
        <v>29</v>
      </c>
      <c r="D560" s="9" t="s">
        <v>33</v>
      </c>
      <c r="E560" s="9">
        <v>67.479142217752994</v>
      </c>
      <c r="F560" s="9">
        <v>787.32372473841394</v>
      </c>
      <c r="G560" s="9">
        <f>DATOS!$E560*DATOS!$F560</f>
        <v>53127.929593034445</v>
      </c>
    </row>
    <row r="561" spans="1:7" x14ac:dyDescent="0.3">
      <c r="A561" s="10">
        <v>40587</v>
      </c>
      <c r="B561" s="9" t="s">
        <v>5</v>
      </c>
      <c r="C561" s="9" t="s">
        <v>28</v>
      </c>
      <c r="D561" s="9" t="s">
        <v>31</v>
      </c>
      <c r="E561" s="9">
        <v>67.520281256553602</v>
      </c>
      <c r="F561" s="9">
        <v>787.177248718908</v>
      </c>
      <c r="G561" s="9">
        <f>DATOS!$E561*DATOS!$F561</f>
        <v>53150.429232260714</v>
      </c>
    </row>
    <row r="562" spans="1:7" x14ac:dyDescent="0.3">
      <c r="A562" s="10">
        <v>40810</v>
      </c>
      <c r="B562" s="9" t="s">
        <v>5</v>
      </c>
      <c r="C562" s="9" t="s">
        <v>24</v>
      </c>
      <c r="D562" s="9" t="s">
        <v>32</v>
      </c>
      <c r="E562" s="9">
        <v>67.561420295354097</v>
      </c>
      <c r="F562" s="9">
        <v>787.03077269940297</v>
      </c>
      <c r="G562" s="9">
        <f>DATOS!$E562*DATOS!$F562</f>
        <v>53172.916819721664</v>
      </c>
    </row>
    <row r="563" spans="1:7" x14ac:dyDescent="0.3">
      <c r="A563" s="10">
        <v>41877</v>
      </c>
      <c r="B563" s="9" t="s">
        <v>5</v>
      </c>
      <c r="C563" s="9" t="s">
        <v>24</v>
      </c>
      <c r="D563" s="9" t="s">
        <v>37</v>
      </c>
      <c r="E563" s="9">
        <v>67.602559334154705</v>
      </c>
      <c r="F563" s="9">
        <v>786.88429667989703</v>
      </c>
      <c r="G563" s="9">
        <f>DATOS!$E563*DATOS!$F563</f>
        <v>53195.392355417331</v>
      </c>
    </row>
    <row r="564" spans="1:7" x14ac:dyDescent="0.3">
      <c r="A564" s="10">
        <v>40255</v>
      </c>
      <c r="B564" s="9" t="s">
        <v>5</v>
      </c>
      <c r="C564" s="9" t="s">
        <v>29</v>
      </c>
      <c r="D564" s="9" t="s">
        <v>31</v>
      </c>
      <c r="E564" s="9">
        <v>67.643698372955299</v>
      </c>
      <c r="F564" s="9">
        <v>786.73782066039098</v>
      </c>
      <c r="G564" s="9">
        <f>DATOS!$E564*DATOS!$F564</f>
        <v>53217.855839347685</v>
      </c>
    </row>
    <row r="565" spans="1:7" x14ac:dyDescent="0.3">
      <c r="A565" s="10">
        <v>41907</v>
      </c>
      <c r="B565" s="9" t="s">
        <v>5</v>
      </c>
      <c r="C565" s="9" t="s">
        <v>27</v>
      </c>
      <c r="D565" s="9" t="s">
        <v>31</v>
      </c>
      <c r="E565" s="9">
        <v>67.684837411755794</v>
      </c>
      <c r="F565" s="9">
        <v>786.59134464088595</v>
      </c>
      <c r="G565" s="9">
        <f>DATOS!$E565*DATOS!$F565</f>
        <v>53240.307271512735</v>
      </c>
    </row>
    <row r="566" spans="1:7" x14ac:dyDescent="0.3">
      <c r="A566" s="10">
        <v>40565</v>
      </c>
      <c r="B566" s="9" t="s">
        <v>5</v>
      </c>
      <c r="C566" s="9" t="s">
        <v>29</v>
      </c>
      <c r="D566" s="9" t="s">
        <v>32</v>
      </c>
      <c r="E566" s="9">
        <v>67.725976450556402</v>
      </c>
      <c r="F566" s="9">
        <v>786.44486862138001</v>
      </c>
      <c r="G566" s="9">
        <f>DATOS!$E566*DATOS!$F566</f>
        <v>53262.746651912508</v>
      </c>
    </row>
    <row r="567" spans="1:7" x14ac:dyDescent="0.3">
      <c r="A567" s="10">
        <v>40581</v>
      </c>
      <c r="B567" s="9" t="s">
        <v>5</v>
      </c>
      <c r="C567" s="9" t="s">
        <v>27</v>
      </c>
      <c r="D567" s="9" t="s">
        <v>32</v>
      </c>
      <c r="E567" s="9">
        <v>67.767115489356996</v>
      </c>
      <c r="F567" s="9">
        <v>786.29839260187396</v>
      </c>
      <c r="G567" s="9">
        <f>DATOS!$E567*DATOS!$F567</f>
        <v>53285.173980546962</v>
      </c>
    </row>
    <row r="568" spans="1:7" x14ac:dyDescent="0.3">
      <c r="A568" s="10">
        <v>41918</v>
      </c>
      <c r="B568" s="9" t="s">
        <v>5</v>
      </c>
      <c r="C568" s="9" t="s">
        <v>25</v>
      </c>
      <c r="D568" s="9" t="s">
        <v>37</v>
      </c>
      <c r="E568" s="9">
        <v>67.808254528157505</v>
      </c>
      <c r="F568" s="9">
        <v>786.15191658236904</v>
      </c>
      <c r="G568" s="9">
        <f>DATOS!$E568*DATOS!$F568</f>
        <v>53307.589257416126</v>
      </c>
    </row>
    <row r="569" spans="1:7" x14ac:dyDescent="0.3">
      <c r="A569" s="10">
        <v>40968</v>
      </c>
      <c r="B569" s="9" t="s">
        <v>5</v>
      </c>
      <c r="C569" s="9" t="s">
        <v>26</v>
      </c>
      <c r="D569" s="9" t="s">
        <v>32</v>
      </c>
      <c r="E569" s="9">
        <v>67.849393566958099</v>
      </c>
      <c r="F569" s="9">
        <v>786.00544056286299</v>
      </c>
      <c r="G569" s="9">
        <f>DATOS!$E569*DATOS!$F569</f>
        <v>53329.992482519985</v>
      </c>
    </row>
    <row r="570" spans="1:7" x14ac:dyDescent="0.3">
      <c r="A570" s="10">
        <v>40274</v>
      </c>
      <c r="B570" s="9" t="s">
        <v>6</v>
      </c>
      <c r="C570" s="9" t="s">
        <v>26</v>
      </c>
      <c r="D570" s="9" t="s">
        <v>37</v>
      </c>
      <c r="E570" s="9">
        <v>67.890532605758693</v>
      </c>
      <c r="F570" s="9">
        <v>785.85896454335796</v>
      </c>
      <c r="G570" s="9">
        <f>DATOS!$E570*DATOS!$F570</f>
        <v>53352.383655858612</v>
      </c>
    </row>
    <row r="571" spans="1:7" x14ac:dyDescent="0.3">
      <c r="A571" s="10">
        <v>41236</v>
      </c>
      <c r="B571" s="9" t="s">
        <v>6</v>
      </c>
      <c r="C571" s="9" t="s">
        <v>28</v>
      </c>
      <c r="D571" s="9" t="s">
        <v>37</v>
      </c>
      <c r="E571" s="9">
        <v>67.931671644559202</v>
      </c>
      <c r="F571" s="9">
        <v>785.71248852385202</v>
      </c>
      <c r="G571" s="9">
        <f>DATOS!$E571*DATOS!$F571</f>
        <v>53374.762777431803</v>
      </c>
    </row>
    <row r="572" spans="1:7" x14ac:dyDescent="0.3">
      <c r="A572" s="10">
        <v>40780</v>
      </c>
      <c r="B572" s="9" t="s">
        <v>6</v>
      </c>
      <c r="C572" s="9" t="s">
        <v>26</v>
      </c>
      <c r="D572" s="9" t="s">
        <v>31</v>
      </c>
      <c r="E572" s="9">
        <v>67.972810683359796</v>
      </c>
      <c r="F572" s="9">
        <v>785.56601250434596</v>
      </c>
      <c r="G572" s="9">
        <f>DATOS!$E572*DATOS!$F572</f>
        <v>53397.129847239761</v>
      </c>
    </row>
    <row r="573" spans="1:7" x14ac:dyDescent="0.3">
      <c r="A573" s="10">
        <v>41934</v>
      </c>
      <c r="B573" s="9" t="s">
        <v>6</v>
      </c>
      <c r="C573" s="9" t="s">
        <v>24</v>
      </c>
      <c r="D573" s="9" t="s">
        <v>32</v>
      </c>
      <c r="E573" s="9">
        <v>68.013949722160405</v>
      </c>
      <c r="F573" s="9">
        <v>785.41953648484105</v>
      </c>
      <c r="G573" s="9">
        <f>DATOS!$E573*DATOS!$F573</f>
        <v>53419.484865282509</v>
      </c>
    </row>
    <row r="574" spans="1:7" x14ac:dyDescent="0.3">
      <c r="A574" s="10">
        <v>40472</v>
      </c>
      <c r="B574" s="9" t="s">
        <v>6</v>
      </c>
      <c r="C574" s="9" t="s">
        <v>29</v>
      </c>
      <c r="D574" s="9" t="s">
        <v>32</v>
      </c>
      <c r="E574" s="9">
        <v>68.055088760960899</v>
      </c>
      <c r="F574" s="9">
        <v>785.27306046533499</v>
      </c>
      <c r="G574" s="9">
        <f>DATOS!$E574*DATOS!$F574</f>
        <v>53441.827831559785</v>
      </c>
    </row>
    <row r="575" spans="1:7" x14ac:dyDescent="0.3">
      <c r="A575" s="10">
        <v>40845</v>
      </c>
      <c r="B575" s="9" t="s">
        <v>6</v>
      </c>
      <c r="C575" s="9" t="s">
        <v>24</v>
      </c>
      <c r="D575" s="9" t="s">
        <v>30</v>
      </c>
      <c r="E575" s="9">
        <v>68.096227799761493</v>
      </c>
      <c r="F575" s="9">
        <v>785.12658444582905</v>
      </c>
      <c r="G575" s="9">
        <f>DATOS!$E575*DATOS!$F575</f>
        <v>53464.158746071851</v>
      </c>
    </row>
    <row r="576" spans="1:7" x14ac:dyDescent="0.3">
      <c r="A576" s="10">
        <v>40273</v>
      </c>
      <c r="B576" s="9" t="s">
        <v>6</v>
      </c>
      <c r="C576" s="9" t="s">
        <v>24</v>
      </c>
      <c r="D576" s="9" t="s">
        <v>33</v>
      </c>
      <c r="E576" s="9">
        <v>68.137366838562102</v>
      </c>
      <c r="F576" s="9">
        <v>784.98010842632402</v>
      </c>
      <c r="G576" s="9">
        <f>DATOS!$E576*DATOS!$F576</f>
        <v>53486.477608818692</v>
      </c>
    </row>
    <row r="577" spans="1:7" x14ac:dyDescent="0.3">
      <c r="A577" s="10">
        <v>41683</v>
      </c>
      <c r="B577" s="9" t="s">
        <v>6</v>
      </c>
      <c r="C577" s="9" t="s">
        <v>29</v>
      </c>
      <c r="D577" s="9" t="s">
        <v>30</v>
      </c>
      <c r="E577" s="9">
        <v>68.178505877362596</v>
      </c>
      <c r="F577" s="9">
        <v>784.83363240681797</v>
      </c>
      <c r="G577" s="9">
        <f>DATOS!$E577*DATOS!$F577</f>
        <v>53508.784419800075</v>
      </c>
    </row>
    <row r="578" spans="1:7" x14ac:dyDescent="0.3">
      <c r="A578" s="10">
        <v>40334</v>
      </c>
      <c r="B578" s="9" t="s">
        <v>6</v>
      </c>
      <c r="C578" s="9" t="s">
        <v>29</v>
      </c>
      <c r="D578" s="9" t="s">
        <v>32</v>
      </c>
      <c r="E578" s="9">
        <v>68.219644916163205</v>
      </c>
      <c r="F578" s="9">
        <v>784.68715638731203</v>
      </c>
      <c r="G578" s="9">
        <f>DATOS!$E578*DATOS!$F578</f>
        <v>53531.079179016255</v>
      </c>
    </row>
    <row r="579" spans="1:7" x14ac:dyDescent="0.3">
      <c r="A579" s="10">
        <v>40194</v>
      </c>
      <c r="B579" s="9" t="s">
        <v>6</v>
      </c>
      <c r="C579" s="9" t="s">
        <v>27</v>
      </c>
      <c r="D579" s="9" t="s">
        <v>32</v>
      </c>
      <c r="E579" s="9">
        <v>68.260783954963799</v>
      </c>
      <c r="F579" s="9">
        <v>784.540680367807</v>
      </c>
      <c r="G579" s="9">
        <f>DATOS!$E579*DATOS!$F579</f>
        <v>53553.361886467181</v>
      </c>
    </row>
    <row r="580" spans="1:7" x14ac:dyDescent="0.3">
      <c r="A580" s="10">
        <v>41729</v>
      </c>
      <c r="B580" s="9" t="s">
        <v>6</v>
      </c>
      <c r="C580" s="9" t="s">
        <v>26</v>
      </c>
      <c r="D580" s="9" t="s">
        <v>33</v>
      </c>
      <c r="E580" s="9">
        <v>68.301922993764293</v>
      </c>
      <c r="F580" s="9">
        <v>784.39420434830095</v>
      </c>
      <c r="G580" s="9">
        <f>DATOS!$E580*DATOS!$F580</f>
        <v>53575.632542152664</v>
      </c>
    </row>
    <row r="581" spans="1:7" x14ac:dyDescent="0.3">
      <c r="A581" s="10">
        <v>40640</v>
      </c>
      <c r="B581" s="9" t="s">
        <v>6</v>
      </c>
      <c r="C581" s="9" t="s">
        <v>26</v>
      </c>
      <c r="D581" s="9" t="s">
        <v>37</v>
      </c>
      <c r="E581" s="9">
        <v>68.343062032564902</v>
      </c>
      <c r="F581" s="9">
        <v>784.24772832879501</v>
      </c>
      <c r="G581" s="9">
        <f>DATOS!$E581*DATOS!$F581</f>
        <v>53597.891146072943</v>
      </c>
    </row>
    <row r="582" spans="1:7" x14ac:dyDescent="0.3">
      <c r="A582" s="10">
        <v>40217</v>
      </c>
      <c r="B582" s="9" t="s">
        <v>6</v>
      </c>
      <c r="C582" s="9" t="s">
        <v>28</v>
      </c>
      <c r="D582" s="9" t="s">
        <v>32</v>
      </c>
      <c r="E582" s="9">
        <v>68.384201771365497</v>
      </c>
      <c r="F582" s="9">
        <v>784.10125230928998</v>
      </c>
      <c r="G582" s="9">
        <f>DATOS!$E582*DATOS!$F582</f>
        <v>53620.138247098854</v>
      </c>
    </row>
    <row r="583" spans="1:7" x14ac:dyDescent="0.3">
      <c r="A583" s="10">
        <v>40674</v>
      </c>
      <c r="B583" s="9" t="s">
        <v>6</v>
      </c>
      <c r="C583" s="9" t="s">
        <v>27</v>
      </c>
      <c r="D583" s="9" t="s">
        <v>37</v>
      </c>
      <c r="E583" s="9">
        <v>68.425340110166005</v>
      </c>
      <c r="F583" s="9">
        <v>783.95477628978404</v>
      </c>
      <c r="G583" s="9">
        <f>DATOS!$E583*DATOS!$F583</f>
        <v>53642.372198617573</v>
      </c>
    </row>
    <row r="584" spans="1:7" x14ac:dyDescent="0.3">
      <c r="A584" s="10">
        <v>40618</v>
      </c>
      <c r="B584" s="9" t="s">
        <v>6</v>
      </c>
      <c r="C584" s="9" t="s">
        <v>25</v>
      </c>
      <c r="D584" s="9" t="s">
        <v>32</v>
      </c>
      <c r="E584" s="9">
        <v>68.466479148966599</v>
      </c>
      <c r="F584" s="9">
        <v>783.80830027027901</v>
      </c>
      <c r="G584" s="9">
        <f>DATOS!$E584*DATOS!$F584</f>
        <v>53664.594647242011</v>
      </c>
    </row>
    <row r="585" spans="1:7" x14ac:dyDescent="0.3">
      <c r="A585" s="10">
        <v>40258</v>
      </c>
      <c r="B585" s="9" t="s">
        <v>6</v>
      </c>
      <c r="C585" s="9" t="s">
        <v>24</v>
      </c>
      <c r="D585" s="9" t="s">
        <v>31</v>
      </c>
      <c r="E585" s="9">
        <v>68.507618187767207</v>
      </c>
      <c r="F585" s="9">
        <v>783.66182425077295</v>
      </c>
      <c r="G585" s="9">
        <f>DATOS!$E585*DATOS!$F585</f>
        <v>53686.805044101078</v>
      </c>
    </row>
    <row r="586" spans="1:7" x14ac:dyDescent="0.3">
      <c r="A586" s="10">
        <v>40361</v>
      </c>
      <c r="B586" s="9" t="s">
        <v>6</v>
      </c>
      <c r="C586" s="9" t="s">
        <v>24</v>
      </c>
      <c r="D586" s="9" t="s">
        <v>32</v>
      </c>
      <c r="E586" s="9">
        <v>68.548757226567702</v>
      </c>
      <c r="F586" s="9">
        <v>783.51534823126701</v>
      </c>
      <c r="G586" s="9">
        <f>DATOS!$E586*DATOS!$F586</f>
        <v>53709.003389194775</v>
      </c>
    </row>
    <row r="587" spans="1:7" x14ac:dyDescent="0.3">
      <c r="A587" s="10">
        <v>40525</v>
      </c>
      <c r="B587" s="9" t="s">
        <v>6</v>
      </c>
      <c r="C587" s="9" t="s">
        <v>29</v>
      </c>
      <c r="D587" s="9" t="s">
        <v>30</v>
      </c>
      <c r="E587" s="9">
        <v>68.589896265368296</v>
      </c>
      <c r="F587" s="9">
        <v>783.36887221176198</v>
      </c>
      <c r="G587" s="9">
        <f>DATOS!$E587*DATOS!$F587</f>
        <v>53731.189682523305</v>
      </c>
    </row>
    <row r="588" spans="1:7" x14ac:dyDescent="0.3">
      <c r="A588" s="10">
        <v>41953</v>
      </c>
      <c r="B588" s="9" t="s">
        <v>6</v>
      </c>
      <c r="C588" s="9" t="s">
        <v>24</v>
      </c>
      <c r="D588" s="9" t="s">
        <v>32</v>
      </c>
      <c r="E588" s="9">
        <v>68.631035304168904</v>
      </c>
      <c r="F588" s="9">
        <v>783.22239619225604</v>
      </c>
      <c r="G588" s="9">
        <f>DATOS!$E588*DATOS!$F588</f>
        <v>53753.363924086487</v>
      </c>
    </row>
    <row r="589" spans="1:7" x14ac:dyDescent="0.3">
      <c r="A589" s="10">
        <v>40896</v>
      </c>
      <c r="B589" s="9" t="s">
        <v>6</v>
      </c>
      <c r="C589" s="9" t="s">
        <v>25</v>
      </c>
      <c r="D589" s="9" t="s">
        <v>31</v>
      </c>
      <c r="E589" s="9">
        <v>68.672174342969399</v>
      </c>
      <c r="F589" s="9">
        <v>783.07592017274999</v>
      </c>
      <c r="G589" s="9">
        <f>DATOS!$E589*DATOS!$F589</f>
        <v>53775.526113884276</v>
      </c>
    </row>
    <row r="590" spans="1:7" x14ac:dyDescent="0.3">
      <c r="A590" s="10">
        <v>40344</v>
      </c>
      <c r="B590" s="9" t="s">
        <v>6</v>
      </c>
      <c r="C590" s="9" t="s">
        <v>29</v>
      </c>
      <c r="D590" s="9" t="s">
        <v>37</v>
      </c>
      <c r="E590" s="9">
        <v>68.713313381770007</v>
      </c>
      <c r="F590" s="9">
        <v>782.92944415324496</v>
      </c>
      <c r="G590" s="9">
        <f>DATOS!$E590*DATOS!$F590</f>
        <v>53797.676251916921</v>
      </c>
    </row>
    <row r="591" spans="1:7" x14ac:dyDescent="0.3">
      <c r="A591" s="10">
        <v>41196</v>
      </c>
      <c r="B591" s="9" t="s">
        <v>6</v>
      </c>
      <c r="C591" s="9" t="s">
        <v>29</v>
      </c>
      <c r="D591" s="9" t="s">
        <v>31</v>
      </c>
      <c r="E591" s="9">
        <v>68.754452420570601</v>
      </c>
      <c r="F591" s="9">
        <v>782.78296813373902</v>
      </c>
      <c r="G591" s="9">
        <f>DATOS!$E591*DATOS!$F591</f>
        <v>53819.814338184195</v>
      </c>
    </row>
    <row r="592" spans="1:7" x14ac:dyDescent="0.3">
      <c r="A592" s="10">
        <v>40843</v>
      </c>
      <c r="B592" s="9" t="s">
        <v>10</v>
      </c>
      <c r="C592" s="9" t="s">
        <v>26</v>
      </c>
      <c r="D592" s="9" t="s">
        <v>32</v>
      </c>
      <c r="E592" s="9">
        <v>76</v>
      </c>
      <c r="F592" s="9">
        <v>820</v>
      </c>
      <c r="G592" s="9">
        <f>DATOS!$E592*DATOS!$F592</f>
        <v>62320</v>
      </c>
    </row>
    <row r="593" spans="1:7" x14ac:dyDescent="0.3">
      <c r="A593" s="10">
        <v>41012</v>
      </c>
      <c r="B593" s="9" t="s">
        <v>10</v>
      </c>
      <c r="C593" s="9" t="s">
        <v>24</v>
      </c>
      <c r="D593" s="9" t="s">
        <v>32</v>
      </c>
      <c r="E593" s="9">
        <v>16</v>
      </c>
      <c r="F593" s="9">
        <v>820</v>
      </c>
      <c r="G593" s="9">
        <f>DATOS!$E593*DATOS!$F593</f>
        <v>13120</v>
      </c>
    </row>
    <row r="594" spans="1:7" x14ac:dyDescent="0.3">
      <c r="A594" s="10">
        <v>40461</v>
      </c>
      <c r="B594" s="9" t="s">
        <v>10</v>
      </c>
      <c r="C594" s="9" t="s">
        <v>28</v>
      </c>
      <c r="D594" s="9" t="s">
        <v>31</v>
      </c>
      <c r="E594" s="9">
        <v>5</v>
      </c>
      <c r="F594" s="9">
        <v>800</v>
      </c>
      <c r="G594" s="9">
        <f>DATOS!$E594*DATOS!$F594</f>
        <v>4000</v>
      </c>
    </row>
    <row r="595" spans="1:7" x14ac:dyDescent="0.3">
      <c r="A595" s="10">
        <v>41913</v>
      </c>
      <c r="B595" s="9" t="s">
        <v>10</v>
      </c>
      <c r="C595" s="9" t="s">
        <v>26</v>
      </c>
      <c r="D595" s="9" t="s">
        <v>31</v>
      </c>
      <c r="E595" s="9">
        <v>45</v>
      </c>
      <c r="F595" s="9">
        <v>800</v>
      </c>
      <c r="G595" s="9">
        <f>DATOS!$E595*DATOS!$F595</f>
        <v>36000</v>
      </c>
    </row>
    <row r="596" spans="1:7" x14ac:dyDescent="0.3">
      <c r="A596" s="10">
        <v>40774</v>
      </c>
      <c r="B596" s="9" t="s">
        <v>10</v>
      </c>
      <c r="C596" s="9" t="s">
        <v>26</v>
      </c>
      <c r="D596" s="9" t="s">
        <v>32</v>
      </c>
      <c r="E596" s="9">
        <v>6</v>
      </c>
      <c r="F596" s="9">
        <v>820</v>
      </c>
      <c r="G596" s="9">
        <f>DATOS!$E596*DATOS!$F596</f>
        <v>4920</v>
      </c>
    </row>
    <row r="597" spans="1:7" x14ac:dyDescent="0.3">
      <c r="A597" s="10">
        <v>41060</v>
      </c>
      <c r="B597" s="9" t="s">
        <v>10</v>
      </c>
      <c r="C597" s="9" t="s">
        <v>28</v>
      </c>
      <c r="D597" s="9" t="s">
        <v>37</v>
      </c>
      <c r="E597" s="9">
        <v>34</v>
      </c>
      <c r="F597" s="9">
        <v>1200</v>
      </c>
      <c r="G597" s="9">
        <f>DATOS!$E597*DATOS!$F597</f>
        <v>40800</v>
      </c>
    </row>
    <row r="598" spans="1:7" x14ac:dyDescent="0.3">
      <c r="A598" s="10">
        <v>41225</v>
      </c>
      <c r="B598" s="9" t="s">
        <v>10</v>
      </c>
      <c r="C598" s="9" t="s">
        <v>28</v>
      </c>
      <c r="D598" s="9" t="s">
        <v>30</v>
      </c>
      <c r="E598" s="9">
        <v>37</v>
      </c>
      <c r="F598" s="9">
        <v>450</v>
      </c>
      <c r="G598" s="9">
        <f>DATOS!$E598*DATOS!$F598</f>
        <v>16650</v>
      </c>
    </row>
    <row r="599" spans="1:7" x14ac:dyDescent="0.3">
      <c r="A599" s="10">
        <v>40254</v>
      </c>
      <c r="B599" s="9" t="s">
        <v>10</v>
      </c>
      <c r="C599" s="9" t="s">
        <v>26</v>
      </c>
      <c r="D599" s="9" t="s">
        <v>37</v>
      </c>
      <c r="E599" s="9">
        <v>14</v>
      </c>
      <c r="F599" s="9">
        <v>1200</v>
      </c>
      <c r="G599" s="9">
        <f>DATOS!$E599*DATOS!$F599</f>
        <v>16800</v>
      </c>
    </row>
    <row r="600" spans="1:7" x14ac:dyDescent="0.3">
      <c r="A600" s="10">
        <v>40978</v>
      </c>
      <c r="B600" s="9" t="s">
        <v>10</v>
      </c>
      <c r="C600" s="9" t="s">
        <v>28</v>
      </c>
      <c r="D600" s="9" t="s">
        <v>32</v>
      </c>
      <c r="E600" s="9">
        <v>2</v>
      </c>
      <c r="F600" s="9">
        <v>950</v>
      </c>
      <c r="G600" s="9">
        <f>DATOS!$E600*DATOS!$F600</f>
        <v>1900</v>
      </c>
    </row>
    <row r="601" spans="1:7" x14ac:dyDescent="0.3">
      <c r="A601" s="10">
        <v>41265</v>
      </c>
      <c r="B601" s="9" t="s">
        <v>10</v>
      </c>
      <c r="C601" s="9" t="s">
        <v>29</v>
      </c>
      <c r="D601" s="9" t="s">
        <v>30</v>
      </c>
      <c r="E601" s="9">
        <v>20</v>
      </c>
      <c r="F601" s="9">
        <v>450</v>
      </c>
      <c r="G601" s="9">
        <f>DATOS!$E601*DATOS!$F601</f>
        <v>9000</v>
      </c>
    </row>
    <row r="602" spans="1:7" x14ac:dyDescent="0.3">
      <c r="A602" s="10">
        <v>41680</v>
      </c>
      <c r="B602" s="9" t="s">
        <v>10</v>
      </c>
      <c r="C602" s="9" t="s">
        <v>24</v>
      </c>
      <c r="D602" s="9" t="s">
        <v>32</v>
      </c>
      <c r="E602" s="9">
        <v>9</v>
      </c>
      <c r="F602" s="9">
        <v>950</v>
      </c>
      <c r="G602" s="9">
        <f>DATOS!$E602*DATOS!$F602</f>
        <v>8550</v>
      </c>
    </row>
    <row r="603" spans="1:7" x14ac:dyDescent="0.3">
      <c r="A603" s="10">
        <v>41459</v>
      </c>
      <c r="B603" s="9" t="s">
        <v>10</v>
      </c>
      <c r="C603" s="9" t="s">
        <v>27</v>
      </c>
      <c r="D603" s="9" t="s">
        <v>31</v>
      </c>
      <c r="E603" s="9">
        <v>34</v>
      </c>
      <c r="F603" s="9">
        <v>800</v>
      </c>
      <c r="G603" s="9">
        <f>DATOS!$E603*DATOS!$F603</f>
        <v>27200</v>
      </c>
    </row>
    <row r="604" spans="1:7" x14ac:dyDescent="0.3">
      <c r="A604" s="10">
        <v>41484</v>
      </c>
      <c r="B604" s="9" t="s">
        <v>10</v>
      </c>
      <c r="C604" s="9" t="s">
        <v>26</v>
      </c>
      <c r="D604" s="9" t="s">
        <v>32</v>
      </c>
      <c r="E604" s="9">
        <v>8</v>
      </c>
      <c r="F604" s="9">
        <v>820</v>
      </c>
      <c r="G604" s="9">
        <f>DATOS!$E604*DATOS!$F604</f>
        <v>6560</v>
      </c>
    </row>
    <row r="605" spans="1:7" x14ac:dyDescent="0.3">
      <c r="A605" s="10">
        <v>40702</v>
      </c>
      <c r="B605" s="9" t="s">
        <v>10</v>
      </c>
      <c r="C605" s="9" t="s">
        <v>24</v>
      </c>
      <c r="D605" s="9" t="s">
        <v>37</v>
      </c>
      <c r="E605" s="9">
        <v>15</v>
      </c>
      <c r="F605" s="9">
        <v>1200</v>
      </c>
      <c r="G605" s="9">
        <f>DATOS!$E605*DATOS!$F605</f>
        <v>18000</v>
      </c>
    </row>
    <row r="606" spans="1:7" x14ac:dyDescent="0.3">
      <c r="A606" s="10">
        <v>41721</v>
      </c>
      <c r="B606" s="9" t="s">
        <v>10</v>
      </c>
      <c r="C606" s="9" t="s">
        <v>28</v>
      </c>
      <c r="D606" s="9" t="s">
        <v>31</v>
      </c>
      <c r="E606" s="9">
        <v>19</v>
      </c>
      <c r="F606" s="9">
        <v>800</v>
      </c>
      <c r="G606" s="9">
        <f>DATOS!$E606*DATOS!$F606</f>
        <v>15200</v>
      </c>
    </row>
    <row r="607" spans="1:7" x14ac:dyDescent="0.3">
      <c r="A607" s="10">
        <v>40724</v>
      </c>
      <c r="B607" s="9" t="s">
        <v>10</v>
      </c>
      <c r="C607" s="9" t="s">
        <v>24</v>
      </c>
      <c r="D607" s="9" t="s">
        <v>32</v>
      </c>
      <c r="E607" s="9">
        <v>18</v>
      </c>
      <c r="F607" s="9">
        <v>820</v>
      </c>
      <c r="G607" s="9">
        <f>DATOS!$E607*DATOS!$F607</f>
        <v>14760</v>
      </c>
    </row>
    <row r="608" spans="1:7" x14ac:dyDescent="0.3">
      <c r="A608" s="10">
        <v>41635</v>
      </c>
      <c r="B608" s="9" t="s">
        <v>10</v>
      </c>
      <c r="C608" s="9" t="s">
        <v>25</v>
      </c>
      <c r="D608" s="9" t="s">
        <v>31</v>
      </c>
      <c r="E608" s="9">
        <v>33</v>
      </c>
      <c r="F608" s="9">
        <v>800</v>
      </c>
      <c r="G608" s="9">
        <f>DATOS!$E608*DATOS!$F608</f>
        <v>26400</v>
      </c>
    </row>
    <row r="609" spans="1:7" x14ac:dyDescent="0.3">
      <c r="A609" s="10">
        <v>41835</v>
      </c>
      <c r="B609" s="9" t="s">
        <v>10</v>
      </c>
      <c r="C609" s="9" t="s">
        <v>25</v>
      </c>
      <c r="D609" s="9" t="s">
        <v>32</v>
      </c>
      <c r="E609" s="9">
        <v>60</v>
      </c>
      <c r="F609" s="9">
        <v>950</v>
      </c>
      <c r="G609" s="9">
        <f>DATOS!$E609*DATOS!$F609</f>
        <v>57000</v>
      </c>
    </row>
    <row r="610" spans="1:7" x14ac:dyDescent="0.3">
      <c r="A610" s="10">
        <v>40864</v>
      </c>
      <c r="B610" s="9" t="s">
        <v>10</v>
      </c>
      <c r="C610" s="9" t="s">
        <v>28</v>
      </c>
      <c r="D610" s="9" t="s">
        <v>32</v>
      </c>
      <c r="E610" s="9">
        <v>4</v>
      </c>
      <c r="F610" s="9">
        <v>820</v>
      </c>
      <c r="G610" s="9">
        <f>DATOS!$E610*DATOS!$F610</f>
        <v>3280</v>
      </c>
    </row>
    <row r="611" spans="1:7" x14ac:dyDescent="0.3">
      <c r="A611" s="10">
        <v>40514</v>
      </c>
      <c r="B611" s="9" t="s">
        <v>10</v>
      </c>
      <c r="C611" s="9" t="s">
        <v>25</v>
      </c>
      <c r="D611" s="9" t="s">
        <v>32</v>
      </c>
      <c r="E611" s="9">
        <v>75</v>
      </c>
      <c r="F611" s="9">
        <v>950</v>
      </c>
      <c r="G611" s="9">
        <f>DATOS!$E611*DATOS!$F611</f>
        <v>71250</v>
      </c>
    </row>
    <row r="612" spans="1:7" x14ac:dyDescent="0.3">
      <c r="A612" s="10">
        <v>41851</v>
      </c>
      <c r="B612" s="9" t="s">
        <v>10</v>
      </c>
      <c r="C612" s="9" t="s">
        <v>27</v>
      </c>
      <c r="D612" s="9" t="s">
        <v>31</v>
      </c>
      <c r="E612" s="9">
        <v>18</v>
      </c>
      <c r="F612" s="9">
        <v>800</v>
      </c>
      <c r="G612" s="9">
        <f>DATOS!$E612*DATOS!$F612</f>
        <v>14400</v>
      </c>
    </row>
    <row r="613" spans="1:7" x14ac:dyDescent="0.3">
      <c r="A613" s="10">
        <v>41437</v>
      </c>
      <c r="B613" s="9" t="s">
        <v>10</v>
      </c>
      <c r="C613" s="9" t="s">
        <v>24</v>
      </c>
      <c r="D613" s="9" t="s">
        <v>37</v>
      </c>
      <c r="E613" s="9">
        <v>138</v>
      </c>
      <c r="F613" s="9">
        <v>1200</v>
      </c>
      <c r="G613" s="9">
        <f>DATOS!$E613*DATOS!$F613</f>
        <v>165600</v>
      </c>
    </row>
    <row r="614" spans="1:7" x14ac:dyDescent="0.3">
      <c r="A614" s="10">
        <v>40380</v>
      </c>
      <c r="B614" s="9" t="s">
        <v>10</v>
      </c>
      <c r="C614" s="9" t="s">
        <v>24</v>
      </c>
      <c r="D614" s="9" t="s">
        <v>37</v>
      </c>
      <c r="E614" s="9">
        <v>8</v>
      </c>
      <c r="F614" s="9">
        <v>1200</v>
      </c>
      <c r="G614" s="9">
        <f>DATOS!$E614*DATOS!$F614</f>
        <v>9600</v>
      </c>
    </row>
    <row r="615" spans="1:7" x14ac:dyDescent="0.3">
      <c r="A615" s="10">
        <v>40983</v>
      </c>
      <c r="B615" s="9" t="s">
        <v>10</v>
      </c>
      <c r="C615" s="9" t="s">
        <v>29</v>
      </c>
      <c r="D615" s="9" t="s">
        <v>37</v>
      </c>
      <c r="E615" s="9">
        <v>102</v>
      </c>
      <c r="F615" s="9">
        <v>1200</v>
      </c>
      <c r="G615" s="9">
        <f>DATOS!$E615*DATOS!$F615</f>
        <v>122400</v>
      </c>
    </row>
    <row r="616" spans="1:7" x14ac:dyDescent="0.3">
      <c r="A616" s="10">
        <v>40648</v>
      </c>
      <c r="B616" s="9" t="s">
        <v>10</v>
      </c>
      <c r="C616" s="9" t="s">
        <v>26</v>
      </c>
      <c r="D616" s="9" t="s">
        <v>30</v>
      </c>
      <c r="E616" s="9">
        <v>17</v>
      </c>
      <c r="F616" s="9">
        <v>450</v>
      </c>
      <c r="G616" s="9">
        <f>DATOS!$E616*DATOS!$F616</f>
        <v>7650</v>
      </c>
    </row>
    <row r="617" spans="1:7" x14ac:dyDescent="0.3">
      <c r="A617" s="10">
        <v>40705</v>
      </c>
      <c r="B617" s="9" t="s">
        <v>10</v>
      </c>
      <c r="C617" s="9" t="s">
        <v>24</v>
      </c>
      <c r="D617" s="9" t="s">
        <v>30</v>
      </c>
      <c r="E617" s="9">
        <v>39</v>
      </c>
      <c r="F617" s="9">
        <v>450</v>
      </c>
      <c r="G617" s="9">
        <f>DATOS!$E617*DATOS!$F617</f>
        <v>17550</v>
      </c>
    </row>
    <row r="618" spans="1:7" x14ac:dyDescent="0.3">
      <c r="A618" s="10">
        <v>40331</v>
      </c>
      <c r="B618" s="9" t="s">
        <v>10</v>
      </c>
      <c r="C618" s="9" t="s">
        <v>26</v>
      </c>
      <c r="D618" s="9" t="s">
        <v>31</v>
      </c>
      <c r="E618" s="9">
        <v>97</v>
      </c>
      <c r="F618" s="9">
        <v>800</v>
      </c>
      <c r="G618" s="9">
        <f>DATOS!$E618*DATOS!$F618</f>
        <v>77600</v>
      </c>
    </row>
    <row r="619" spans="1:7" x14ac:dyDescent="0.3">
      <c r="A619" s="10">
        <v>40783</v>
      </c>
      <c r="B619" s="9" t="s">
        <v>10</v>
      </c>
      <c r="C619" s="9" t="s">
        <v>26</v>
      </c>
      <c r="D619" s="9" t="s">
        <v>33</v>
      </c>
      <c r="E619" s="9">
        <v>72</v>
      </c>
      <c r="F619" s="9">
        <v>650</v>
      </c>
      <c r="G619" s="9">
        <f>DATOS!$E619*DATOS!$F619</f>
        <v>46800</v>
      </c>
    </row>
    <row r="620" spans="1:7" x14ac:dyDescent="0.3">
      <c r="A620" s="10">
        <v>41648</v>
      </c>
      <c r="B620" s="9" t="s">
        <v>10</v>
      </c>
      <c r="C620" s="9" t="s">
        <v>27</v>
      </c>
      <c r="D620" s="9" t="s">
        <v>33</v>
      </c>
      <c r="E620" s="9">
        <v>12</v>
      </c>
      <c r="F620" s="9">
        <v>650</v>
      </c>
      <c r="G620" s="9">
        <f>DATOS!$E620*DATOS!$F620</f>
        <v>7800</v>
      </c>
    </row>
    <row r="621" spans="1:7" x14ac:dyDescent="0.3">
      <c r="A621" s="10">
        <v>40980</v>
      </c>
      <c r="B621" s="9" t="s">
        <v>10</v>
      </c>
      <c r="C621" s="9" t="s">
        <v>24</v>
      </c>
      <c r="D621" s="9" t="s">
        <v>30</v>
      </c>
      <c r="E621" s="9">
        <v>28</v>
      </c>
      <c r="F621" s="9">
        <v>450</v>
      </c>
      <c r="G621" s="9">
        <f>DATOS!$E621*DATOS!$F621</f>
        <v>12600</v>
      </c>
    </row>
    <row r="622" spans="1:7" x14ac:dyDescent="0.3">
      <c r="A622" s="10">
        <v>40202</v>
      </c>
      <c r="B622" s="9" t="s">
        <v>10</v>
      </c>
      <c r="C622" s="9" t="s">
        <v>26</v>
      </c>
      <c r="D622" s="9" t="s">
        <v>37</v>
      </c>
      <c r="E622" s="9">
        <v>26</v>
      </c>
      <c r="F622" s="9">
        <v>1200</v>
      </c>
      <c r="G622" s="9">
        <f>DATOS!$E622*DATOS!$F622</f>
        <v>31200</v>
      </c>
    </row>
    <row r="623" spans="1:7" x14ac:dyDescent="0.3">
      <c r="A623" s="10">
        <v>40264</v>
      </c>
      <c r="B623" s="9" t="s">
        <v>10</v>
      </c>
      <c r="C623" s="9" t="s">
        <v>25</v>
      </c>
      <c r="D623" s="9" t="s">
        <v>37</v>
      </c>
      <c r="E623" s="9">
        <v>126</v>
      </c>
      <c r="F623" s="9">
        <v>1200</v>
      </c>
      <c r="G623" s="9">
        <f>DATOS!$E623*DATOS!$F623</f>
        <v>151200</v>
      </c>
    </row>
    <row r="624" spans="1:7" x14ac:dyDescent="0.3">
      <c r="A624" s="10">
        <v>41646</v>
      </c>
      <c r="B624" s="9" t="s">
        <v>10</v>
      </c>
      <c r="C624" s="9" t="s">
        <v>29</v>
      </c>
      <c r="D624" s="9" t="s">
        <v>31</v>
      </c>
      <c r="E624" s="9">
        <v>67</v>
      </c>
      <c r="F624" s="9">
        <v>800</v>
      </c>
      <c r="G624" s="9">
        <f>DATOS!$E624*DATOS!$F624</f>
        <v>53600</v>
      </c>
    </row>
    <row r="625" spans="1:7" x14ac:dyDescent="0.3">
      <c r="A625" s="10">
        <v>40668</v>
      </c>
      <c r="B625" s="9" t="s">
        <v>10</v>
      </c>
      <c r="C625" s="9" t="s">
        <v>25</v>
      </c>
      <c r="D625" s="9" t="s">
        <v>33</v>
      </c>
      <c r="E625" s="9">
        <v>138</v>
      </c>
      <c r="F625" s="9">
        <v>650</v>
      </c>
      <c r="G625" s="9">
        <f>DATOS!$E625*DATOS!$F625</f>
        <v>89700</v>
      </c>
    </row>
    <row r="626" spans="1:7" x14ac:dyDescent="0.3">
      <c r="A626" s="10">
        <v>40941</v>
      </c>
      <c r="B626" s="9" t="s">
        <v>10</v>
      </c>
      <c r="C626" s="9" t="s">
        <v>25</v>
      </c>
      <c r="D626" s="9" t="s">
        <v>32</v>
      </c>
      <c r="E626" s="9">
        <v>115</v>
      </c>
      <c r="F626" s="9">
        <v>820</v>
      </c>
      <c r="G626" s="9">
        <f>DATOS!$E626*DATOS!$F626</f>
        <v>94300</v>
      </c>
    </row>
    <row r="627" spans="1:7" x14ac:dyDescent="0.3">
      <c r="A627" s="10">
        <v>41321</v>
      </c>
      <c r="B627" s="9" t="s">
        <v>10</v>
      </c>
      <c r="C627" s="9" t="s">
        <v>25</v>
      </c>
      <c r="D627" s="9" t="s">
        <v>37</v>
      </c>
      <c r="E627" s="9">
        <v>70</v>
      </c>
      <c r="F627" s="9">
        <v>1200</v>
      </c>
      <c r="G627" s="9">
        <f>DATOS!$E627*DATOS!$F627</f>
        <v>84000</v>
      </c>
    </row>
    <row r="628" spans="1:7" x14ac:dyDescent="0.3">
      <c r="A628" s="10">
        <v>41191</v>
      </c>
      <c r="B628" s="9" t="s">
        <v>10</v>
      </c>
      <c r="C628" s="9" t="s">
        <v>27</v>
      </c>
      <c r="D628" s="9" t="s">
        <v>31</v>
      </c>
      <c r="E628" s="9">
        <v>51</v>
      </c>
      <c r="F628" s="9">
        <v>800</v>
      </c>
      <c r="G628" s="9">
        <f>DATOS!$E628*DATOS!$F628</f>
        <v>40800</v>
      </c>
    </row>
    <row r="629" spans="1:7" x14ac:dyDescent="0.3">
      <c r="A629" s="10">
        <v>40781</v>
      </c>
      <c r="B629" s="9" t="s">
        <v>10</v>
      </c>
      <c r="C629" s="9" t="s">
        <v>28</v>
      </c>
      <c r="D629" s="9" t="s">
        <v>33</v>
      </c>
      <c r="E629" s="9">
        <v>18</v>
      </c>
      <c r="F629" s="9">
        <v>650</v>
      </c>
      <c r="G629" s="9">
        <f>DATOS!$E629*DATOS!$F629</f>
        <v>11700</v>
      </c>
    </row>
    <row r="630" spans="1:7" x14ac:dyDescent="0.3">
      <c r="A630" s="10">
        <v>41549</v>
      </c>
      <c r="B630" s="9" t="s">
        <v>10</v>
      </c>
      <c r="C630" s="9" t="s">
        <v>25</v>
      </c>
      <c r="D630" s="9" t="s">
        <v>31</v>
      </c>
      <c r="E630" s="9">
        <v>18</v>
      </c>
      <c r="F630" s="9">
        <v>800</v>
      </c>
      <c r="G630" s="9">
        <f>DATOS!$E630*DATOS!$F630</f>
        <v>14400</v>
      </c>
    </row>
    <row r="631" spans="1:7" x14ac:dyDescent="0.3">
      <c r="A631" s="10">
        <v>41157</v>
      </c>
      <c r="B631" s="9" t="s">
        <v>10</v>
      </c>
      <c r="C631" s="9" t="s">
        <v>25</v>
      </c>
      <c r="D631" s="9" t="s">
        <v>31</v>
      </c>
      <c r="E631" s="9">
        <v>171</v>
      </c>
      <c r="F631" s="9">
        <v>800</v>
      </c>
      <c r="G631" s="9">
        <f>DATOS!$E631*DATOS!$F631</f>
        <v>136800</v>
      </c>
    </row>
    <row r="632" spans="1:7" x14ac:dyDescent="0.3">
      <c r="A632" s="10">
        <v>41634</v>
      </c>
      <c r="B632" s="9" t="s">
        <v>10</v>
      </c>
      <c r="C632" s="9" t="s">
        <v>29</v>
      </c>
      <c r="D632" s="9" t="s">
        <v>32</v>
      </c>
      <c r="E632" s="9">
        <v>88</v>
      </c>
      <c r="F632" s="9">
        <v>950</v>
      </c>
      <c r="G632" s="9">
        <f>DATOS!$E632*DATOS!$F632</f>
        <v>83600</v>
      </c>
    </row>
    <row r="633" spans="1:7" x14ac:dyDescent="0.3">
      <c r="A633" s="10">
        <v>40392</v>
      </c>
      <c r="B633" s="9" t="s">
        <v>10</v>
      </c>
      <c r="C633" s="9" t="s">
        <v>27</v>
      </c>
      <c r="D633" s="9" t="s">
        <v>30</v>
      </c>
      <c r="E633" s="9">
        <v>98</v>
      </c>
      <c r="F633" s="9">
        <v>450</v>
      </c>
      <c r="G633" s="9">
        <f>DATOS!$E633*DATOS!$F633</f>
        <v>44100</v>
      </c>
    </row>
    <row r="634" spans="1:7" x14ac:dyDescent="0.3">
      <c r="A634" s="10">
        <v>42002</v>
      </c>
      <c r="B634" s="9" t="s">
        <v>10</v>
      </c>
      <c r="C634" s="9" t="s">
        <v>29</v>
      </c>
      <c r="D634" s="9" t="s">
        <v>31</v>
      </c>
      <c r="E634" s="9">
        <v>29</v>
      </c>
      <c r="F634" s="9">
        <v>800</v>
      </c>
      <c r="G634" s="9">
        <f>DATOS!$E634*DATOS!$F634</f>
        <v>23200</v>
      </c>
    </row>
    <row r="635" spans="1:7" x14ac:dyDescent="0.3">
      <c r="A635" s="10">
        <v>40675</v>
      </c>
      <c r="B635" s="9" t="s">
        <v>10</v>
      </c>
      <c r="C635" s="9" t="s">
        <v>25</v>
      </c>
      <c r="D635" s="9" t="s">
        <v>37</v>
      </c>
      <c r="E635" s="9">
        <v>67</v>
      </c>
      <c r="F635" s="9">
        <v>1200</v>
      </c>
      <c r="G635" s="9">
        <f>DATOS!$E635*DATOS!$F635</f>
        <v>80400</v>
      </c>
    </row>
    <row r="636" spans="1:7" x14ac:dyDescent="0.3">
      <c r="A636" s="10">
        <v>41393</v>
      </c>
      <c r="B636" s="9" t="s">
        <v>10</v>
      </c>
      <c r="C636" s="9" t="s">
        <v>25</v>
      </c>
      <c r="D636" s="9" t="s">
        <v>31</v>
      </c>
      <c r="E636" s="9">
        <v>63</v>
      </c>
      <c r="F636" s="9">
        <v>800</v>
      </c>
      <c r="G636" s="9">
        <f>DATOS!$E636*DATOS!$F636</f>
        <v>50400</v>
      </c>
    </row>
    <row r="637" spans="1:7" x14ac:dyDescent="0.3">
      <c r="A637" s="10">
        <v>41041</v>
      </c>
      <c r="B637" s="9" t="s">
        <v>10</v>
      </c>
      <c r="C637" s="9" t="s">
        <v>27</v>
      </c>
      <c r="D637" s="9" t="s">
        <v>31</v>
      </c>
      <c r="E637" s="9">
        <v>83</v>
      </c>
      <c r="F637" s="9">
        <v>800</v>
      </c>
      <c r="G637" s="9">
        <f>DATOS!$E637*DATOS!$F637</f>
        <v>66400</v>
      </c>
    </row>
    <row r="638" spans="1:7" x14ac:dyDescent="0.3">
      <c r="A638" s="10">
        <v>40644</v>
      </c>
      <c r="B638" s="9" t="s">
        <v>10</v>
      </c>
      <c r="C638" s="9" t="s">
        <v>29</v>
      </c>
      <c r="D638" s="9" t="s">
        <v>32</v>
      </c>
      <c r="E638" s="9">
        <v>51</v>
      </c>
      <c r="F638" s="9">
        <v>820</v>
      </c>
      <c r="G638" s="9">
        <f>DATOS!$E638*DATOS!$F638</f>
        <v>41820</v>
      </c>
    </row>
    <row r="639" spans="1:7" x14ac:dyDescent="0.3">
      <c r="A639" s="10">
        <v>41674</v>
      </c>
      <c r="B639" s="9" t="s">
        <v>10</v>
      </c>
      <c r="C639" s="9" t="s">
        <v>29</v>
      </c>
      <c r="D639" s="9" t="s">
        <v>30</v>
      </c>
      <c r="E639" s="9">
        <v>273</v>
      </c>
      <c r="F639" s="9">
        <v>450</v>
      </c>
      <c r="G639" s="9">
        <f>DATOS!$E639*DATOS!$F639</f>
        <v>122850</v>
      </c>
    </row>
    <row r="640" spans="1:7" x14ac:dyDescent="0.3">
      <c r="A640" s="10">
        <v>41617</v>
      </c>
      <c r="B640" s="9" t="s">
        <v>10</v>
      </c>
      <c r="C640" s="9" t="s">
        <v>28</v>
      </c>
      <c r="D640" s="9" t="s">
        <v>37</v>
      </c>
      <c r="E640" s="9">
        <v>23</v>
      </c>
      <c r="F640" s="9">
        <v>1200</v>
      </c>
      <c r="G640" s="9">
        <f>DATOS!$E640*DATOS!$F640</f>
        <v>27600</v>
      </c>
    </row>
    <row r="641" spans="1:7" x14ac:dyDescent="0.3">
      <c r="A641" s="10">
        <v>41209</v>
      </c>
      <c r="B641" s="9" t="s">
        <v>10</v>
      </c>
      <c r="C641" s="9" t="s">
        <v>28</v>
      </c>
      <c r="D641" s="9" t="s">
        <v>33</v>
      </c>
      <c r="E641" s="9">
        <v>31</v>
      </c>
      <c r="F641" s="9">
        <v>650</v>
      </c>
      <c r="G641" s="9">
        <f>DATOS!$E641*DATOS!$F641</f>
        <v>20150</v>
      </c>
    </row>
    <row r="642" spans="1:7" x14ac:dyDescent="0.3">
      <c r="A642" s="10">
        <v>40789</v>
      </c>
      <c r="B642" s="9" t="s">
        <v>10</v>
      </c>
      <c r="C642" s="9" t="s">
        <v>25</v>
      </c>
      <c r="D642" s="9" t="s">
        <v>31</v>
      </c>
      <c r="E642" s="9">
        <v>12</v>
      </c>
      <c r="F642" s="9">
        <v>800</v>
      </c>
      <c r="G642" s="9">
        <f>DATOS!$E642*DATOS!$F642</f>
        <v>9600</v>
      </c>
    </row>
    <row r="643" spans="1:7" x14ac:dyDescent="0.3">
      <c r="A643" s="10">
        <v>40798</v>
      </c>
      <c r="B643" s="9" t="s">
        <v>10</v>
      </c>
      <c r="C643" s="9" t="s">
        <v>27</v>
      </c>
      <c r="D643" s="9" t="s">
        <v>32</v>
      </c>
      <c r="E643" s="9">
        <v>11</v>
      </c>
      <c r="F643" s="9">
        <v>820</v>
      </c>
      <c r="G643" s="9">
        <f>DATOS!$E643*DATOS!$F643</f>
        <v>9020</v>
      </c>
    </row>
    <row r="644" spans="1:7" x14ac:dyDescent="0.3">
      <c r="A644" s="10">
        <v>40970</v>
      </c>
      <c r="B644" s="9" t="s">
        <v>10</v>
      </c>
      <c r="C644" s="9" t="s">
        <v>25</v>
      </c>
      <c r="D644" s="9" t="s">
        <v>32</v>
      </c>
      <c r="E644" s="9">
        <v>39</v>
      </c>
      <c r="F644" s="9">
        <v>820</v>
      </c>
      <c r="G644" s="9">
        <f>DATOS!$E644*DATOS!$F644</f>
        <v>31980</v>
      </c>
    </row>
    <row r="645" spans="1:7" x14ac:dyDescent="0.3">
      <c r="A645" s="10">
        <v>41891</v>
      </c>
      <c r="B645" s="9" t="s">
        <v>10</v>
      </c>
      <c r="C645" s="9" t="s">
        <v>25</v>
      </c>
      <c r="D645" s="9" t="s">
        <v>30</v>
      </c>
      <c r="E645" s="9">
        <v>74</v>
      </c>
      <c r="F645" s="9">
        <v>450</v>
      </c>
      <c r="G645" s="9">
        <f>DATOS!$E645*DATOS!$F645</f>
        <v>33300</v>
      </c>
    </row>
    <row r="646" spans="1:7" x14ac:dyDescent="0.3">
      <c r="A646" s="10">
        <v>41432</v>
      </c>
      <c r="B646" s="9" t="s">
        <v>10</v>
      </c>
      <c r="C646" s="9" t="s">
        <v>24</v>
      </c>
      <c r="D646" s="9" t="s">
        <v>32</v>
      </c>
      <c r="E646" s="9">
        <v>109</v>
      </c>
      <c r="F646" s="9">
        <v>820</v>
      </c>
      <c r="G646" s="9">
        <f>DATOS!$E646*DATOS!$F646</f>
        <v>89380</v>
      </c>
    </row>
    <row r="647" spans="1:7" x14ac:dyDescent="0.3">
      <c r="A647" s="10">
        <v>40827</v>
      </c>
      <c r="B647" s="9" t="s">
        <v>10</v>
      </c>
      <c r="C647" s="9" t="s">
        <v>28</v>
      </c>
      <c r="D647" s="9" t="s">
        <v>37</v>
      </c>
      <c r="E647" s="9">
        <v>24</v>
      </c>
      <c r="F647" s="9">
        <v>1200</v>
      </c>
      <c r="G647" s="9">
        <f>DATOS!$E647*DATOS!$F647</f>
        <v>28800</v>
      </c>
    </row>
    <row r="648" spans="1:7" x14ac:dyDescent="0.3">
      <c r="A648" s="10">
        <v>41909</v>
      </c>
      <c r="B648" s="9" t="s">
        <v>10</v>
      </c>
      <c r="C648" s="9" t="s">
        <v>29</v>
      </c>
      <c r="D648" s="9" t="s">
        <v>31</v>
      </c>
      <c r="E648" s="9">
        <v>66</v>
      </c>
      <c r="F648" s="9">
        <v>800</v>
      </c>
      <c r="G648" s="9">
        <f>DATOS!$E648*DATOS!$F648</f>
        <v>52800</v>
      </c>
    </row>
    <row r="649" spans="1:7" x14ac:dyDescent="0.3">
      <c r="A649" s="10">
        <v>40290</v>
      </c>
      <c r="B649" s="9" t="s">
        <v>10</v>
      </c>
      <c r="C649" s="9" t="s">
        <v>24</v>
      </c>
      <c r="D649" s="9" t="s">
        <v>32</v>
      </c>
      <c r="E649" s="9">
        <v>36</v>
      </c>
      <c r="F649" s="9">
        <v>820</v>
      </c>
      <c r="G649" s="9">
        <f>DATOS!$E649*DATOS!$F649</f>
        <v>29520</v>
      </c>
    </row>
    <row r="650" spans="1:7" x14ac:dyDescent="0.3">
      <c r="A650" s="10">
        <v>41858</v>
      </c>
      <c r="B650" s="9" t="s">
        <v>10</v>
      </c>
      <c r="C650" s="9" t="s">
        <v>29</v>
      </c>
      <c r="D650" s="9" t="s">
        <v>33</v>
      </c>
      <c r="E650" s="9">
        <v>33</v>
      </c>
      <c r="F650" s="9">
        <v>650</v>
      </c>
      <c r="G650" s="9">
        <f>DATOS!$E650*DATOS!$F650</f>
        <v>21450</v>
      </c>
    </row>
    <row r="651" spans="1:7" x14ac:dyDescent="0.3">
      <c r="A651" s="10">
        <v>40181</v>
      </c>
      <c r="B651" s="9" t="s">
        <v>10</v>
      </c>
      <c r="C651" s="9" t="s">
        <v>27</v>
      </c>
      <c r="D651" s="9" t="s">
        <v>32</v>
      </c>
      <c r="E651" s="9">
        <v>3</v>
      </c>
      <c r="F651" s="9">
        <v>820</v>
      </c>
      <c r="G651" s="9">
        <f>DATOS!$E651*DATOS!$F651</f>
        <v>2460</v>
      </c>
    </row>
    <row r="652" spans="1:7" x14ac:dyDescent="0.3">
      <c r="A652" s="10">
        <v>41504</v>
      </c>
      <c r="B652" s="9" t="s">
        <v>10</v>
      </c>
      <c r="C652" s="9" t="s">
        <v>29</v>
      </c>
      <c r="D652" s="9" t="s">
        <v>31</v>
      </c>
      <c r="E652" s="9">
        <v>140</v>
      </c>
      <c r="F652" s="9">
        <v>800</v>
      </c>
      <c r="G652" s="9">
        <f>DATOS!$E652*DATOS!$F652</f>
        <v>112000</v>
      </c>
    </row>
    <row r="653" spans="1:7" x14ac:dyDescent="0.3">
      <c r="A653" s="10">
        <v>41187</v>
      </c>
      <c r="B653" s="9" t="s">
        <v>10</v>
      </c>
      <c r="C653" s="9" t="s">
        <v>27</v>
      </c>
      <c r="D653" s="9" t="s">
        <v>37</v>
      </c>
      <c r="E653" s="9">
        <v>1</v>
      </c>
      <c r="F653" s="9">
        <v>1200</v>
      </c>
      <c r="G653" s="9">
        <f>DATOS!$E653*DATOS!$F653</f>
        <v>1200</v>
      </c>
    </row>
    <row r="654" spans="1:7" x14ac:dyDescent="0.3">
      <c r="A654" s="10">
        <v>41964</v>
      </c>
      <c r="B654" s="9" t="s">
        <v>10</v>
      </c>
      <c r="C654" s="9" t="s">
        <v>26</v>
      </c>
      <c r="D654" s="9" t="s">
        <v>32</v>
      </c>
      <c r="E654" s="9">
        <v>13</v>
      </c>
      <c r="F654" s="9">
        <v>820</v>
      </c>
      <c r="G654" s="9">
        <f>DATOS!$E654*DATOS!$F654</f>
        <v>10660</v>
      </c>
    </row>
    <row r="655" spans="1:7" x14ac:dyDescent="0.3">
      <c r="A655" s="10">
        <v>40365</v>
      </c>
      <c r="B655" s="9" t="s">
        <v>10</v>
      </c>
      <c r="C655" s="9" t="s">
        <v>29</v>
      </c>
      <c r="D655" s="9" t="s">
        <v>30</v>
      </c>
      <c r="E655" s="9">
        <v>130</v>
      </c>
      <c r="F655" s="9">
        <v>450</v>
      </c>
      <c r="G655" s="9">
        <f>DATOS!$E655*DATOS!$F655</f>
        <v>58500</v>
      </c>
    </row>
    <row r="656" spans="1:7" x14ac:dyDescent="0.3">
      <c r="A656" s="10">
        <v>41180</v>
      </c>
      <c r="B656" s="9" t="s">
        <v>10</v>
      </c>
      <c r="C656" s="9" t="s">
        <v>24</v>
      </c>
      <c r="D656" s="9" t="s">
        <v>32</v>
      </c>
      <c r="E656" s="9">
        <v>76</v>
      </c>
      <c r="F656" s="9">
        <v>820</v>
      </c>
      <c r="G656" s="9">
        <f>DATOS!$E656*DATOS!$F656</f>
        <v>62320</v>
      </c>
    </row>
    <row r="657" spans="1:7" x14ac:dyDescent="0.3">
      <c r="A657" s="10">
        <v>40287</v>
      </c>
      <c r="B657" s="9" t="s">
        <v>10</v>
      </c>
      <c r="C657" s="9" t="s">
        <v>24</v>
      </c>
      <c r="D657" s="9" t="s">
        <v>32</v>
      </c>
      <c r="E657" s="9">
        <v>15</v>
      </c>
      <c r="F657" s="9">
        <v>820</v>
      </c>
      <c r="G657" s="9">
        <f>DATOS!$E657*DATOS!$F657</f>
        <v>12300</v>
      </c>
    </row>
    <row r="658" spans="1:7" x14ac:dyDescent="0.3">
      <c r="A658" s="10">
        <v>41752</v>
      </c>
      <c r="B658" s="9" t="s">
        <v>10</v>
      </c>
      <c r="C658" s="9" t="s">
        <v>26</v>
      </c>
      <c r="D658" s="9" t="s">
        <v>32</v>
      </c>
      <c r="E658" s="9">
        <v>40</v>
      </c>
      <c r="F658" s="9">
        <v>950</v>
      </c>
      <c r="G658" s="9">
        <f>DATOS!$E658*DATOS!$F658</f>
        <v>38000</v>
      </c>
    </row>
    <row r="659" spans="1:7" x14ac:dyDescent="0.3">
      <c r="A659" s="10">
        <v>41540</v>
      </c>
      <c r="B659" s="9" t="s">
        <v>10</v>
      </c>
      <c r="C659" s="9" t="s">
        <v>26</v>
      </c>
      <c r="D659" s="9" t="s">
        <v>32</v>
      </c>
      <c r="E659" s="9">
        <v>48</v>
      </c>
      <c r="F659" s="9">
        <v>820</v>
      </c>
      <c r="G659" s="9">
        <f>DATOS!$E659*DATOS!$F659</f>
        <v>39360</v>
      </c>
    </row>
    <row r="660" spans="1:7" x14ac:dyDescent="0.3">
      <c r="A660" s="10">
        <v>40276</v>
      </c>
      <c r="B660" s="9" t="s">
        <v>10</v>
      </c>
      <c r="C660" s="9" t="s">
        <v>29</v>
      </c>
      <c r="D660" s="9" t="s">
        <v>32</v>
      </c>
      <c r="E660" s="9">
        <v>295</v>
      </c>
      <c r="F660" s="9">
        <v>820</v>
      </c>
      <c r="G660" s="9">
        <f>DATOS!$E660*DATOS!$F660</f>
        <v>241900</v>
      </c>
    </row>
    <row r="661" spans="1:7" x14ac:dyDescent="0.3">
      <c r="A661" s="10">
        <v>40338</v>
      </c>
      <c r="B661" s="9" t="s">
        <v>10</v>
      </c>
      <c r="C661" s="9" t="s">
        <v>27</v>
      </c>
      <c r="D661" s="9" t="s">
        <v>37</v>
      </c>
      <c r="E661" s="9">
        <v>86</v>
      </c>
      <c r="F661" s="9">
        <v>1200</v>
      </c>
      <c r="G661" s="9">
        <f>DATOS!$E661*DATOS!$F661</f>
        <v>103200</v>
      </c>
    </row>
    <row r="662" spans="1:7" x14ac:dyDescent="0.3">
      <c r="A662" s="10">
        <v>41196</v>
      </c>
      <c r="B662" s="9" t="s">
        <v>10</v>
      </c>
      <c r="C662" s="9" t="s">
        <v>28</v>
      </c>
      <c r="D662" s="9" t="s">
        <v>32</v>
      </c>
      <c r="E662" s="9">
        <v>1</v>
      </c>
      <c r="F662" s="9">
        <v>820</v>
      </c>
      <c r="G662" s="9">
        <f>DATOS!$E662*DATOS!$F662</f>
        <v>820</v>
      </c>
    </row>
    <row r="663" spans="1:7" x14ac:dyDescent="0.3">
      <c r="A663" s="10">
        <v>40266</v>
      </c>
      <c r="B663" s="9" t="s">
        <v>4</v>
      </c>
      <c r="C663" s="9" t="s">
        <v>29</v>
      </c>
      <c r="D663" s="9" t="s">
        <v>32</v>
      </c>
      <c r="E663" s="9">
        <v>24</v>
      </c>
      <c r="F663" s="9">
        <v>950</v>
      </c>
      <c r="G663" s="9">
        <f>DATOS!$E663*DATOS!$F663</f>
        <v>22800</v>
      </c>
    </row>
    <row r="664" spans="1:7" x14ac:dyDescent="0.3">
      <c r="A664" s="10">
        <v>40454</v>
      </c>
      <c r="B664" s="9" t="s">
        <v>4</v>
      </c>
      <c r="C664" s="9" t="s">
        <v>28</v>
      </c>
      <c r="D664" s="9" t="s">
        <v>30</v>
      </c>
      <c r="E664" s="9">
        <v>18</v>
      </c>
      <c r="F664" s="9">
        <v>450</v>
      </c>
      <c r="G664" s="9">
        <f>DATOS!$E664*DATOS!$F664</f>
        <v>8100</v>
      </c>
    </row>
    <row r="665" spans="1:7" x14ac:dyDescent="0.3">
      <c r="A665" s="10">
        <v>40351</v>
      </c>
      <c r="B665" s="9" t="s">
        <v>4</v>
      </c>
      <c r="C665" s="9" t="s">
        <v>28</v>
      </c>
      <c r="D665" s="9" t="s">
        <v>31</v>
      </c>
      <c r="E665" s="9">
        <v>19</v>
      </c>
      <c r="F665" s="9">
        <v>800</v>
      </c>
      <c r="G665" s="9">
        <f>DATOS!$E665*DATOS!$F665</f>
        <v>15200</v>
      </c>
    </row>
    <row r="666" spans="1:7" x14ac:dyDescent="0.3">
      <c r="A666" s="10">
        <v>41314</v>
      </c>
      <c r="B666" s="9" t="s">
        <v>4</v>
      </c>
      <c r="C666" s="9" t="s">
        <v>26</v>
      </c>
      <c r="D666" s="9" t="s">
        <v>32</v>
      </c>
      <c r="E666" s="9">
        <v>27</v>
      </c>
      <c r="F666" s="9">
        <v>820</v>
      </c>
      <c r="G666" s="9">
        <f>DATOS!$E666*DATOS!$F666</f>
        <v>22140</v>
      </c>
    </row>
    <row r="667" spans="1:7" x14ac:dyDescent="0.3">
      <c r="A667" s="10">
        <v>41847</v>
      </c>
      <c r="B667" s="9" t="s">
        <v>4</v>
      </c>
      <c r="C667" s="9" t="s">
        <v>24</v>
      </c>
      <c r="D667" s="9" t="s">
        <v>33</v>
      </c>
      <c r="E667" s="9">
        <v>3</v>
      </c>
      <c r="F667" s="9">
        <v>650</v>
      </c>
      <c r="G667" s="9">
        <f>DATOS!$E667*DATOS!$F667</f>
        <v>1950</v>
      </c>
    </row>
    <row r="668" spans="1:7" x14ac:dyDescent="0.3">
      <c r="A668" s="10">
        <v>40270</v>
      </c>
      <c r="B668" s="9" t="s">
        <v>4</v>
      </c>
      <c r="C668" s="9" t="s">
        <v>29</v>
      </c>
      <c r="D668" s="9" t="s">
        <v>32</v>
      </c>
      <c r="E668" s="9">
        <v>20</v>
      </c>
      <c r="F668" s="9">
        <v>820</v>
      </c>
      <c r="G668" s="9">
        <f>DATOS!$E668*DATOS!$F668</f>
        <v>16400</v>
      </c>
    </row>
    <row r="669" spans="1:7" x14ac:dyDescent="0.3">
      <c r="A669" s="10">
        <v>40183</v>
      </c>
      <c r="B669" s="9" t="s">
        <v>4</v>
      </c>
      <c r="C669" s="9" t="s">
        <v>26</v>
      </c>
      <c r="D669" s="9" t="s">
        <v>31</v>
      </c>
      <c r="E669" s="9">
        <v>154</v>
      </c>
      <c r="F669" s="9">
        <v>800</v>
      </c>
      <c r="G669" s="9">
        <f>DATOS!$E669*DATOS!$F669</f>
        <v>123200</v>
      </c>
    </row>
    <row r="670" spans="1:7" x14ac:dyDescent="0.3">
      <c r="A670" s="10">
        <v>40989</v>
      </c>
      <c r="B670" s="9" t="s">
        <v>4</v>
      </c>
      <c r="C670" s="9" t="s">
        <v>25</v>
      </c>
      <c r="D670" s="9" t="s">
        <v>31</v>
      </c>
      <c r="E670" s="9">
        <v>4</v>
      </c>
      <c r="F670" s="9">
        <v>800</v>
      </c>
      <c r="G670" s="9">
        <f>DATOS!$E670*DATOS!$F670</f>
        <v>3200</v>
      </c>
    </row>
    <row r="671" spans="1:7" x14ac:dyDescent="0.3">
      <c r="A671" s="10">
        <v>40277</v>
      </c>
      <c r="B671" s="9" t="s">
        <v>4</v>
      </c>
      <c r="C671" s="9" t="s">
        <v>28</v>
      </c>
      <c r="D671" s="9" t="s">
        <v>31</v>
      </c>
      <c r="E671" s="9">
        <v>5</v>
      </c>
      <c r="F671" s="9">
        <v>800</v>
      </c>
      <c r="G671" s="9">
        <f>DATOS!$E671*DATOS!$F671</f>
        <v>4000</v>
      </c>
    </row>
    <row r="672" spans="1:7" x14ac:dyDescent="0.3">
      <c r="A672" s="10">
        <v>40827</v>
      </c>
      <c r="B672" s="9" t="s">
        <v>4</v>
      </c>
      <c r="C672" s="9" t="s">
        <v>27</v>
      </c>
      <c r="D672" s="9" t="s">
        <v>30</v>
      </c>
      <c r="E672" s="9">
        <v>92</v>
      </c>
      <c r="F672" s="9">
        <v>450</v>
      </c>
      <c r="G672" s="9">
        <f>DATOS!$E672*DATOS!$F672</f>
        <v>41400</v>
      </c>
    </row>
    <row r="673" spans="1:7" x14ac:dyDescent="0.3">
      <c r="A673" s="10">
        <v>40457</v>
      </c>
      <c r="B673" s="9" t="s">
        <v>4</v>
      </c>
      <c r="C673" s="9" t="s">
        <v>27</v>
      </c>
      <c r="D673" s="9" t="s">
        <v>33</v>
      </c>
      <c r="E673" s="9">
        <v>3</v>
      </c>
      <c r="F673" s="9">
        <v>650</v>
      </c>
      <c r="G673" s="9">
        <f>DATOS!$E673*DATOS!$F673</f>
        <v>1950</v>
      </c>
    </row>
    <row r="674" spans="1:7" x14ac:dyDescent="0.3">
      <c r="A674" s="10">
        <v>41655</v>
      </c>
      <c r="B674" s="9" t="s">
        <v>4</v>
      </c>
      <c r="C674" s="9" t="s">
        <v>26</v>
      </c>
      <c r="D674" s="9" t="s">
        <v>37</v>
      </c>
      <c r="E674" s="9">
        <v>13</v>
      </c>
      <c r="F674" s="9">
        <v>1200</v>
      </c>
      <c r="G674" s="9">
        <f>DATOS!$E674*DATOS!$F674</f>
        <v>15600</v>
      </c>
    </row>
    <row r="675" spans="1:7" x14ac:dyDescent="0.3">
      <c r="A675" s="10">
        <v>41309</v>
      </c>
      <c r="B675" s="9" t="s">
        <v>4</v>
      </c>
      <c r="C675" s="9" t="s">
        <v>29</v>
      </c>
      <c r="D675" s="9" t="s">
        <v>32</v>
      </c>
      <c r="E675" s="9">
        <v>236</v>
      </c>
      <c r="F675" s="9">
        <v>950</v>
      </c>
      <c r="G675" s="9">
        <f>DATOS!$E675*DATOS!$F675</f>
        <v>224200</v>
      </c>
    </row>
    <row r="676" spans="1:7" x14ac:dyDescent="0.3">
      <c r="A676" s="10">
        <v>41789</v>
      </c>
      <c r="B676" s="9" t="s">
        <v>4</v>
      </c>
      <c r="C676" s="9" t="s">
        <v>28</v>
      </c>
      <c r="D676" s="9" t="s">
        <v>31</v>
      </c>
      <c r="E676" s="9">
        <v>6</v>
      </c>
      <c r="F676" s="9">
        <v>800</v>
      </c>
      <c r="G676" s="9">
        <f>DATOS!$E676*DATOS!$F676</f>
        <v>4800</v>
      </c>
    </row>
    <row r="677" spans="1:7" x14ac:dyDescent="0.3">
      <c r="A677" s="10">
        <v>40381</v>
      </c>
      <c r="B677" s="9" t="s">
        <v>4</v>
      </c>
      <c r="C677" s="9" t="s">
        <v>25</v>
      </c>
      <c r="D677" s="9" t="s">
        <v>32</v>
      </c>
      <c r="E677" s="9">
        <v>6</v>
      </c>
      <c r="F677" s="9">
        <v>950</v>
      </c>
      <c r="G677" s="9">
        <f>DATOS!$E677*DATOS!$F677</f>
        <v>5700</v>
      </c>
    </row>
    <row r="678" spans="1:7" x14ac:dyDescent="0.3">
      <c r="A678" s="10">
        <v>40697</v>
      </c>
      <c r="B678" s="9" t="s">
        <v>4</v>
      </c>
      <c r="C678" s="9" t="s">
        <v>28</v>
      </c>
      <c r="D678" s="9" t="s">
        <v>33</v>
      </c>
      <c r="E678" s="9">
        <v>18</v>
      </c>
      <c r="F678" s="9">
        <v>650</v>
      </c>
      <c r="G678" s="9">
        <f>DATOS!$E678*DATOS!$F678</f>
        <v>11700</v>
      </c>
    </row>
    <row r="679" spans="1:7" x14ac:dyDescent="0.3">
      <c r="A679" s="10">
        <v>41780</v>
      </c>
      <c r="B679" s="9" t="s">
        <v>4</v>
      </c>
      <c r="C679" s="9" t="s">
        <v>27</v>
      </c>
      <c r="D679" s="9" t="s">
        <v>32</v>
      </c>
      <c r="E679" s="9">
        <v>56</v>
      </c>
      <c r="F679" s="9">
        <v>950</v>
      </c>
      <c r="G679" s="9">
        <f>DATOS!$E679*DATOS!$F679</f>
        <v>53200</v>
      </c>
    </row>
    <row r="680" spans="1:7" x14ac:dyDescent="0.3">
      <c r="A680" s="10">
        <v>40238</v>
      </c>
      <c r="B680" s="9" t="s">
        <v>4</v>
      </c>
      <c r="C680" s="9" t="s">
        <v>28</v>
      </c>
      <c r="D680" s="9" t="s">
        <v>30</v>
      </c>
      <c r="E680" s="9">
        <v>1</v>
      </c>
      <c r="F680" s="9">
        <v>450</v>
      </c>
      <c r="G680" s="9">
        <f>DATOS!$E680*DATOS!$F680</f>
        <v>450</v>
      </c>
    </row>
    <row r="681" spans="1:7" x14ac:dyDescent="0.3">
      <c r="A681" s="10">
        <v>41477</v>
      </c>
      <c r="B681" s="9" t="s">
        <v>4</v>
      </c>
      <c r="C681" s="9" t="s">
        <v>27</v>
      </c>
      <c r="D681" s="9" t="s">
        <v>30</v>
      </c>
      <c r="E681" s="9">
        <v>11</v>
      </c>
      <c r="F681" s="9">
        <v>450</v>
      </c>
      <c r="G681" s="9">
        <f>DATOS!$E681*DATOS!$F681</f>
        <v>4950</v>
      </c>
    </row>
    <row r="682" spans="1:7" x14ac:dyDescent="0.3">
      <c r="A682" s="10">
        <v>40695</v>
      </c>
      <c r="B682" s="9" t="s">
        <v>4</v>
      </c>
      <c r="C682" s="9" t="s">
        <v>28</v>
      </c>
      <c r="D682" s="9" t="s">
        <v>30</v>
      </c>
      <c r="E682" s="9">
        <v>1</v>
      </c>
      <c r="F682" s="9">
        <v>450</v>
      </c>
      <c r="G682" s="9">
        <f>DATOS!$E682*DATOS!$F682</f>
        <v>450</v>
      </c>
    </row>
    <row r="683" spans="1:7" x14ac:dyDescent="0.3">
      <c r="A683" s="10">
        <v>40793</v>
      </c>
      <c r="B683" s="9" t="s">
        <v>4</v>
      </c>
      <c r="C683" s="9" t="s">
        <v>29</v>
      </c>
      <c r="D683" s="9" t="s">
        <v>31</v>
      </c>
      <c r="E683" s="9">
        <v>139</v>
      </c>
      <c r="F683" s="9">
        <v>800</v>
      </c>
      <c r="G683" s="9">
        <f>DATOS!$E683*DATOS!$F683</f>
        <v>111200</v>
      </c>
    </row>
    <row r="684" spans="1:7" x14ac:dyDescent="0.3">
      <c r="A684" s="10">
        <v>41110</v>
      </c>
      <c r="B684" s="9" t="s">
        <v>4</v>
      </c>
      <c r="C684" s="9" t="s">
        <v>24</v>
      </c>
      <c r="D684" s="9" t="s">
        <v>37</v>
      </c>
      <c r="E684" s="9">
        <v>81</v>
      </c>
      <c r="F684" s="9">
        <v>1200</v>
      </c>
      <c r="G684" s="9">
        <f>DATOS!$E684*DATOS!$F684</f>
        <v>97200</v>
      </c>
    </row>
    <row r="685" spans="1:7" x14ac:dyDescent="0.3">
      <c r="A685" s="10">
        <v>41967</v>
      </c>
      <c r="B685" s="9" t="s">
        <v>4</v>
      </c>
      <c r="C685" s="9" t="s">
        <v>27</v>
      </c>
      <c r="D685" s="9" t="s">
        <v>32</v>
      </c>
      <c r="E685" s="9">
        <v>2</v>
      </c>
      <c r="F685" s="9">
        <v>950</v>
      </c>
      <c r="G685" s="9">
        <f>DATOS!$E685*DATOS!$F685</f>
        <v>1900</v>
      </c>
    </row>
    <row r="686" spans="1:7" x14ac:dyDescent="0.3">
      <c r="A686" s="10">
        <v>40511</v>
      </c>
      <c r="B686" s="9" t="s">
        <v>4</v>
      </c>
      <c r="C686" s="9" t="s">
        <v>26</v>
      </c>
      <c r="D686" s="9" t="s">
        <v>31</v>
      </c>
      <c r="E686" s="9">
        <v>32</v>
      </c>
      <c r="F686" s="9">
        <v>800</v>
      </c>
      <c r="G686" s="9">
        <f>DATOS!$E686*DATOS!$F686</f>
        <v>25600</v>
      </c>
    </row>
    <row r="687" spans="1:7" x14ac:dyDescent="0.3">
      <c r="A687" s="10">
        <v>40792</v>
      </c>
      <c r="B687" s="9" t="s">
        <v>4</v>
      </c>
      <c r="C687" s="9" t="s">
        <v>26</v>
      </c>
      <c r="D687" s="9" t="s">
        <v>37</v>
      </c>
      <c r="E687" s="9">
        <v>166</v>
      </c>
      <c r="F687" s="9">
        <v>1200</v>
      </c>
      <c r="G687" s="9">
        <f>DATOS!$E687*DATOS!$F687</f>
        <v>199200</v>
      </c>
    </row>
    <row r="688" spans="1:7" x14ac:dyDescent="0.3">
      <c r="A688" s="10">
        <v>40302</v>
      </c>
      <c r="B688" s="9" t="s">
        <v>4</v>
      </c>
      <c r="C688" s="9" t="s">
        <v>27</v>
      </c>
      <c r="D688" s="9" t="s">
        <v>32</v>
      </c>
      <c r="E688" s="9">
        <v>5</v>
      </c>
      <c r="F688" s="9">
        <v>820</v>
      </c>
      <c r="G688" s="9">
        <f>DATOS!$E688*DATOS!$F688</f>
        <v>4100</v>
      </c>
    </row>
    <row r="689" spans="1:7" x14ac:dyDescent="0.3">
      <c r="A689" s="10">
        <v>40599</v>
      </c>
      <c r="B689" s="9" t="s">
        <v>4</v>
      </c>
      <c r="C689" s="9" t="s">
        <v>26</v>
      </c>
      <c r="D689" s="9" t="s">
        <v>32</v>
      </c>
      <c r="E689" s="9">
        <v>65</v>
      </c>
      <c r="F689" s="9">
        <v>820</v>
      </c>
      <c r="G689" s="9">
        <f>DATOS!$E689*DATOS!$F689</f>
        <v>53300</v>
      </c>
    </row>
    <row r="690" spans="1:7" x14ac:dyDescent="0.3">
      <c r="A690" s="10">
        <v>41612</v>
      </c>
      <c r="B690" s="9" t="s">
        <v>4</v>
      </c>
      <c r="C690" s="9" t="s">
        <v>24</v>
      </c>
      <c r="D690" s="9" t="s">
        <v>31</v>
      </c>
      <c r="E690" s="9">
        <v>40</v>
      </c>
      <c r="F690" s="9">
        <v>800</v>
      </c>
      <c r="G690" s="9">
        <f>DATOS!$E690*DATOS!$F690</f>
        <v>32000</v>
      </c>
    </row>
    <row r="691" spans="1:7" x14ac:dyDescent="0.3">
      <c r="A691" s="10">
        <v>41875</v>
      </c>
      <c r="B691" s="9" t="s">
        <v>4</v>
      </c>
      <c r="C691" s="9" t="s">
        <v>28</v>
      </c>
      <c r="D691" s="9" t="s">
        <v>32</v>
      </c>
      <c r="E691" s="9">
        <v>14</v>
      </c>
      <c r="F691" s="9">
        <v>820</v>
      </c>
      <c r="G691" s="9">
        <f>DATOS!$E691*DATOS!$F691</f>
        <v>11480</v>
      </c>
    </row>
    <row r="692" spans="1:7" x14ac:dyDescent="0.3">
      <c r="A692" s="10">
        <v>41771</v>
      </c>
      <c r="B692" s="9" t="s">
        <v>4</v>
      </c>
      <c r="C692" s="9" t="s">
        <v>24</v>
      </c>
      <c r="D692" s="9" t="s">
        <v>31</v>
      </c>
      <c r="E692" s="9">
        <v>67</v>
      </c>
      <c r="F692" s="9">
        <v>800</v>
      </c>
      <c r="G692" s="9">
        <f>DATOS!$E692*DATOS!$F692</f>
        <v>53600</v>
      </c>
    </row>
    <row r="693" spans="1:7" x14ac:dyDescent="0.3">
      <c r="A693" s="10">
        <v>41665</v>
      </c>
      <c r="B693" s="9" t="s">
        <v>4</v>
      </c>
      <c r="C693" s="9" t="s">
        <v>28</v>
      </c>
      <c r="D693" s="9" t="s">
        <v>32</v>
      </c>
      <c r="E693" s="9">
        <v>25</v>
      </c>
      <c r="F693" s="9">
        <v>820</v>
      </c>
      <c r="G693" s="9">
        <f>DATOS!$E693*DATOS!$F693</f>
        <v>20500</v>
      </c>
    </row>
    <row r="694" spans="1:7" x14ac:dyDescent="0.3">
      <c r="A694" s="10">
        <v>41202</v>
      </c>
      <c r="B694" s="9" t="s">
        <v>4</v>
      </c>
      <c r="C694" s="9" t="s">
        <v>27</v>
      </c>
      <c r="D694" s="9" t="s">
        <v>37</v>
      </c>
      <c r="E694" s="9">
        <v>5</v>
      </c>
      <c r="F694" s="9">
        <v>1200</v>
      </c>
      <c r="G694" s="9">
        <f>DATOS!$E694*DATOS!$F694</f>
        <v>6000</v>
      </c>
    </row>
    <row r="695" spans="1:7" x14ac:dyDescent="0.3">
      <c r="A695" s="10">
        <v>40628</v>
      </c>
      <c r="B695" s="9" t="s">
        <v>4</v>
      </c>
      <c r="C695" s="9" t="s">
        <v>25</v>
      </c>
      <c r="D695" s="9" t="s">
        <v>32</v>
      </c>
      <c r="E695" s="9">
        <v>132</v>
      </c>
      <c r="F695" s="9">
        <v>950</v>
      </c>
      <c r="G695" s="9">
        <f>DATOS!$E695*DATOS!$F695</f>
        <v>125400</v>
      </c>
    </row>
    <row r="696" spans="1:7" x14ac:dyDescent="0.3">
      <c r="A696" s="10">
        <v>41903</v>
      </c>
      <c r="B696" s="9" t="s">
        <v>4</v>
      </c>
      <c r="C696" s="9" t="s">
        <v>28</v>
      </c>
      <c r="D696" s="9" t="s">
        <v>33</v>
      </c>
      <c r="E696" s="9">
        <v>5</v>
      </c>
      <c r="F696" s="9">
        <v>650</v>
      </c>
      <c r="G696" s="9">
        <f>DATOS!$E696*DATOS!$F696</f>
        <v>3250</v>
      </c>
    </row>
    <row r="697" spans="1:7" x14ac:dyDescent="0.3">
      <c r="A697" s="10">
        <v>41586</v>
      </c>
      <c r="B697" s="9" t="s">
        <v>4</v>
      </c>
      <c r="C697" s="9" t="s">
        <v>29</v>
      </c>
      <c r="D697" s="9" t="s">
        <v>32</v>
      </c>
      <c r="E697" s="9">
        <v>31</v>
      </c>
      <c r="F697" s="9">
        <v>820</v>
      </c>
      <c r="G697" s="9">
        <f>DATOS!$E697*DATOS!$F697</f>
        <v>25420</v>
      </c>
    </row>
    <row r="698" spans="1:7" x14ac:dyDescent="0.3">
      <c r="A698" s="10">
        <v>40723</v>
      </c>
      <c r="B698" s="9" t="s">
        <v>4</v>
      </c>
      <c r="C698" s="9" t="s">
        <v>28</v>
      </c>
      <c r="D698" s="9" t="s">
        <v>31</v>
      </c>
      <c r="E698" s="9">
        <v>4</v>
      </c>
      <c r="F698" s="9">
        <v>800</v>
      </c>
      <c r="G698" s="9">
        <f>DATOS!$E698*DATOS!$F698</f>
        <v>3200</v>
      </c>
    </row>
    <row r="699" spans="1:7" x14ac:dyDescent="0.3">
      <c r="A699" s="10">
        <v>40973</v>
      </c>
      <c r="B699" s="9" t="s">
        <v>4</v>
      </c>
      <c r="C699" s="9" t="s">
        <v>26</v>
      </c>
      <c r="D699" s="9" t="s">
        <v>30</v>
      </c>
      <c r="E699" s="9">
        <v>128</v>
      </c>
      <c r="F699" s="9">
        <v>450</v>
      </c>
      <c r="G699" s="9">
        <f>DATOS!$E699*DATOS!$F699</f>
        <v>57600</v>
      </c>
    </row>
    <row r="700" spans="1:7" x14ac:dyDescent="0.3">
      <c r="A700" s="10">
        <v>41234</v>
      </c>
      <c r="B700" s="9" t="s">
        <v>4</v>
      </c>
      <c r="C700" s="9" t="s">
        <v>24</v>
      </c>
      <c r="D700" s="9" t="s">
        <v>32</v>
      </c>
      <c r="E700" s="9">
        <v>33</v>
      </c>
      <c r="F700" s="9">
        <v>950</v>
      </c>
      <c r="G700" s="9">
        <f>DATOS!$E700*DATOS!$F700</f>
        <v>31350</v>
      </c>
    </row>
    <row r="701" spans="1:7" x14ac:dyDescent="0.3">
      <c r="A701" s="10">
        <v>40677</v>
      </c>
      <c r="B701" s="9" t="s">
        <v>4</v>
      </c>
      <c r="C701" s="9" t="s">
        <v>26</v>
      </c>
      <c r="D701" s="9" t="s">
        <v>37</v>
      </c>
      <c r="E701" s="9">
        <v>4</v>
      </c>
      <c r="F701" s="9">
        <v>1200</v>
      </c>
      <c r="G701" s="9">
        <f>DATOS!$E701*DATOS!$F701</f>
        <v>4800</v>
      </c>
    </row>
    <row r="702" spans="1:7" x14ac:dyDescent="0.3">
      <c r="A702" s="10">
        <v>40456</v>
      </c>
      <c r="B702" s="9" t="s">
        <v>4</v>
      </c>
      <c r="C702" s="9" t="s">
        <v>25</v>
      </c>
      <c r="D702" s="9" t="s">
        <v>33</v>
      </c>
      <c r="E702" s="9">
        <v>145</v>
      </c>
      <c r="F702" s="9">
        <v>650</v>
      </c>
      <c r="G702" s="9">
        <f>DATOS!$E702*DATOS!$F702</f>
        <v>94250</v>
      </c>
    </row>
    <row r="703" spans="1:7" x14ac:dyDescent="0.3">
      <c r="A703" s="10">
        <v>40471</v>
      </c>
      <c r="B703" s="9" t="s">
        <v>4</v>
      </c>
      <c r="C703" s="9" t="s">
        <v>26</v>
      </c>
      <c r="D703" s="9" t="s">
        <v>37</v>
      </c>
      <c r="E703" s="9">
        <v>73</v>
      </c>
      <c r="F703" s="9">
        <v>1200</v>
      </c>
      <c r="G703" s="9">
        <f>DATOS!$E703*DATOS!$F703</f>
        <v>87600</v>
      </c>
    </row>
    <row r="704" spans="1:7" x14ac:dyDescent="0.3">
      <c r="A704" s="10">
        <v>40426</v>
      </c>
      <c r="B704" s="9" t="s">
        <v>4</v>
      </c>
      <c r="C704" s="9" t="s">
        <v>25</v>
      </c>
      <c r="D704" s="9" t="s">
        <v>31</v>
      </c>
      <c r="E704" s="9">
        <v>6</v>
      </c>
      <c r="F704" s="9">
        <v>800</v>
      </c>
      <c r="G704" s="9">
        <f>DATOS!$E704*DATOS!$F704</f>
        <v>4800</v>
      </c>
    </row>
    <row r="705" spans="1:7" x14ac:dyDescent="0.3">
      <c r="A705" s="10">
        <v>41995</v>
      </c>
      <c r="B705" s="9" t="s">
        <v>4</v>
      </c>
      <c r="C705" s="9" t="s">
        <v>27</v>
      </c>
      <c r="D705" s="9" t="s">
        <v>37</v>
      </c>
      <c r="E705" s="9">
        <v>48</v>
      </c>
      <c r="F705" s="9">
        <v>1200</v>
      </c>
      <c r="G705" s="9">
        <f>DATOS!$E705*DATOS!$F705</f>
        <v>57600</v>
      </c>
    </row>
    <row r="706" spans="1:7" x14ac:dyDescent="0.3">
      <c r="A706" s="10">
        <v>41112</v>
      </c>
      <c r="B706" s="9" t="s">
        <v>4</v>
      </c>
      <c r="C706" s="9" t="s">
        <v>28</v>
      </c>
      <c r="D706" s="9" t="s">
        <v>32</v>
      </c>
      <c r="E706" s="9">
        <v>1</v>
      </c>
      <c r="F706" s="9">
        <v>820</v>
      </c>
      <c r="G706" s="9">
        <f>DATOS!$E706*DATOS!$F706</f>
        <v>820</v>
      </c>
    </row>
    <row r="707" spans="1:7" x14ac:dyDescent="0.3">
      <c r="A707" s="10">
        <v>41785</v>
      </c>
      <c r="B707" s="9" t="s">
        <v>4</v>
      </c>
      <c r="C707" s="9" t="s">
        <v>29</v>
      </c>
      <c r="D707" s="9" t="s">
        <v>31</v>
      </c>
      <c r="E707" s="9">
        <v>45</v>
      </c>
      <c r="F707" s="9">
        <v>800</v>
      </c>
      <c r="G707" s="9">
        <f>DATOS!$E707*DATOS!$F707</f>
        <v>36000</v>
      </c>
    </row>
    <row r="708" spans="1:7" x14ac:dyDescent="0.3">
      <c r="A708" s="10">
        <v>41757</v>
      </c>
      <c r="B708" s="9" t="s">
        <v>4</v>
      </c>
      <c r="C708" s="9" t="s">
        <v>28</v>
      </c>
      <c r="D708" s="9" t="s">
        <v>32</v>
      </c>
      <c r="E708" s="9">
        <v>13</v>
      </c>
      <c r="F708" s="9">
        <v>820</v>
      </c>
      <c r="G708" s="9">
        <f>DATOS!$E708*DATOS!$F708</f>
        <v>10660</v>
      </c>
    </row>
    <row r="709" spans="1:7" x14ac:dyDescent="0.3">
      <c r="A709" s="10">
        <v>40957</v>
      </c>
      <c r="B709" s="9" t="s">
        <v>4</v>
      </c>
      <c r="C709" s="9" t="s">
        <v>28</v>
      </c>
      <c r="D709" s="9" t="s">
        <v>32</v>
      </c>
      <c r="E709" s="9">
        <v>37</v>
      </c>
      <c r="F709" s="9">
        <v>950</v>
      </c>
      <c r="G709" s="9">
        <f>DATOS!$E709*DATOS!$F709</f>
        <v>35150</v>
      </c>
    </row>
    <row r="710" spans="1:7" x14ac:dyDescent="0.3">
      <c r="A710" s="10">
        <v>40247</v>
      </c>
      <c r="B710" s="9" t="s">
        <v>4</v>
      </c>
      <c r="C710" s="9" t="s">
        <v>28</v>
      </c>
      <c r="D710" s="9" t="s">
        <v>30</v>
      </c>
      <c r="E710" s="9">
        <v>39</v>
      </c>
      <c r="F710" s="9">
        <v>450</v>
      </c>
      <c r="G710" s="9">
        <f>DATOS!$E710*DATOS!$F710</f>
        <v>17550</v>
      </c>
    </row>
    <row r="711" spans="1:7" x14ac:dyDescent="0.3">
      <c r="A711" s="10">
        <v>41276</v>
      </c>
      <c r="B711" s="9" t="s">
        <v>4</v>
      </c>
      <c r="C711" s="9" t="s">
        <v>26</v>
      </c>
      <c r="D711" s="9" t="s">
        <v>31</v>
      </c>
      <c r="E711" s="9">
        <v>51</v>
      </c>
      <c r="F711" s="9">
        <v>800</v>
      </c>
      <c r="G711" s="9">
        <f>DATOS!$E711*DATOS!$F711</f>
        <v>40800</v>
      </c>
    </row>
    <row r="712" spans="1:7" x14ac:dyDescent="0.3">
      <c r="A712" s="10">
        <v>40844</v>
      </c>
      <c r="B712" s="9" t="s">
        <v>4</v>
      </c>
      <c r="C712" s="9" t="s">
        <v>27</v>
      </c>
      <c r="D712" s="9" t="s">
        <v>32</v>
      </c>
      <c r="E712" s="9">
        <v>13</v>
      </c>
      <c r="F712" s="9">
        <v>820</v>
      </c>
      <c r="G712" s="9">
        <f>DATOS!$E712*DATOS!$F712</f>
        <v>10660</v>
      </c>
    </row>
    <row r="713" spans="1:7" x14ac:dyDescent="0.3">
      <c r="A713" s="10">
        <v>41751</v>
      </c>
      <c r="B713" s="9" t="s">
        <v>4</v>
      </c>
      <c r="C713" s="9" t="s">
        <v>27</v>
      </c>
      <c r="D713" s="9" t="s">
        <v>31</v>
      </c>
      <c r="E713" s="9">
        <v>17</v>
      </c>
      <c r="F713" s="9">
        <v>800</v>
      </c>
      <c r="G713" s="9">
        <f>DATOS!$E713*DATOS!$F713</f>
        <v>13600</v>
      </c>
    </row>
    <row r="714" spans="1:7" x14ac:dyDescent="0.3">
      <c r="A714" s="10">
        <v>41536</v>
      </c>
      <c r="B714" s="9" t="s">
        <v>4</v>
      </c>
      <c r="C714" s="9" t="s">
        <v>25</v>
      </c>
      <c r="D714" s="9" t="s">
        <v>31</v>
      </c>
      <c r="E714" s="9">
        <v>20</v>
      </c>
      <c r="F714" s="9">
        <v>800</v>
      </c>
      <c r="G714" s="9">
        <f>DATOS!$E714*DATOS!$F714</f>
        <v>16000</v>
      </c>
    </row>
    <row r="715" spans="1:7" x14ac:dyDescent="0.3">
      <c r="A715" s="10">
        <v>40908</v>
      </c>
      <c r="B715" s="9" t="s">
        <v>4</v>
      </c>
      <c r="C715" s="9" t="s">
        <v>29</v>
      </c>
      <c r="D715" s="9" t="s">
        <v>32</v>
      </c>
      <c r="E715" s="9">
        <v>23</v>
      </c>
      <c r="F715" s="9">
        <v>820</v>
      </c>
      <c r="G715" s="9">
        <f>DATOS!$E715*DATOS!$F715</f>
        <v>18860</v>
      </c>
    </row>
    <row r="716" spans="1:7" x14ac:dyDescent="0.3">
      <c r="A716" s="10">
        <v>40336</v>
      </c>
      <c r="B716" s="9" t="s">
        <v>4</v>
      </c>
      <c r="C716" s="9" t="s">
        <v>26</v>
      </c>
      <c r="D716" s="9" t="s">
        <v>31</v>
      </c>
      <c r="E716" s="9">
        <v>54</v>
      </c>
      <c r="F716" s="9">
        <v>800</v>
      </c>
      <c r="G716" s="9">
        <f>DATOS!$E716*DATOS!$F716</f>
        <v>43200</v>
      </c>
    </row>
    <row r="717" spans="1:7" x14ac:dyDescent="0.3">
      <c r="A717" s="10">
        <v>41350</v>
      </c>
      <c r="B717" s="9" t="s">
        <v>4</v>
      </c>
      <c r="C717" s="9" t="s">
        <v>29</v>
      </c>
      <c r="D717" s="9" t="s">
        <v>32</v>
      </c>
      <c r="E717" s="9">
        <v>4</v>
      </c>
      <c r="F717" s="9">
        <v>950</v>
      </c>
      <c r="G717" s="9">
        <f>DATOS!$E717*DATOS!$F717</f>
        <v>3800</v>
      </c>
    </row>
    <row r="718" spans="1:7" x14ac:dyDescent="0.3">
      <c r="A718" s="10">
        <v>41562</v>
      </c>
      <c r="B718" s="9" t="s">
        <v>4</v>
      </c>
      <c r="C718" s="9" t="s">
        <v>24</v>
      </c>
      <c r="D718" s="9" t="s">
        <v>32</v>
      </c>
      <c r="E718" s="9">
        <v>3</v>
      </c>
      <c r="F718" s="9">
        <v>820</v>
      </c>
      <c r="G718" s="9">
        <f>DATOS!$E718*DATOS!$F718</f>
        <v>2460</v>
      </c>
    </row>
    <row r="719" spans="1:7" x14ac:dyDescent="0.3">
      <c r="A719" s="10">
        <v>40434</v>
      </c>
      <c r="B719" s="9" t="s">
        <v>4</v>
      </c>
      <c r="C719" s="9" t="s">
        <v>29</v>
      </c>
      <c r="D719" s="9" t="s">
        <v>31</v>
      </c>
      <c r="E719" s="9">
        <v>197</v>
      </c>
      <c r="F719" s="9">
        <v>800</v>
      </c>
      <c r="G719" s="9">
        <f>DATOS!$E719*DATOS!$F719</f>
        <v>157600</v>
      </c>
    </row>
    <row r="720" spans="1:7" x14ac:dyDescent="0.3">
      <c r="A720" s="10">
        <v>40499</v>
      </c>
      <c r="B720" s="9" t="s">
        <v>4</v>
      </c>
      <c r="C720" s="9" t="s">
        <v>25</v>
      </c>
      <c r="D720" s="9" t="s">
        <v>32</v>
      </c>
      <c r="E720" s="9">
        <v>18</v>
      </c>
      <c r="F720" s="9">
        <v>950</v>
      </c>
      <c r="G720" s="9">
        <f>DATOS!$E720*DATOS!$F720</f>
        <v>17100</v>
      </c>
    </row>
    <row r="721" spans="1:7" x14ac:dyDescent="0.3">
      <c r="A721" s="10">
        <v>40421</v>
      </c>
      <c r="B721" s="9" t="s">
        <v>4</v>
      </c>
      <c r="C721" s="9" t="s">
        <v>25</v>
      </c>
      <c r="D721" s="9" t="s">
        <v>31</v>
      </c>
      <c r="E721" s="9">
        <v>12</v>
      </c>
      <c r="F721" s="9">
        <v>800</v>
      </c>
      <c r="G721" s="9">
        <f>DATOS!$E721*DATOS!$F721</f>
        <v>9600</v>
      </c>
    </row>
    <row r="722" spans="1:7" x14ac:dyDescent="0.3">
      <c r="A722" s="10">
        <v>41563</v>
      </c>
      <c r="B722" s="9" t="s">
        <v>4</v>
      </c>
      <c r="C722" s="9" t="s">
        <v>28</v>
      </c>
      <c r="D722" s="9" t="s">
        <v>31</v>
      </c>
      <c r="E722" s="9">
        <v>17</v>
      </c>
      <c r="F722" s="9">
        <v>800</v>
      </c>
      <c r="G722" s="9">
        <f>DATOS!$E722*DATOS!$F722</f>
        <v>13600</v>
      </c>
    </row>
    <row r="723" spans="1:7" x14ac:dyDescent="0.3">
      <c r="A723" s="10">
        <v>40576</v>
      </c>
      <c r="B723" s="9" t="s">
        <v>4</v>
      </c>
      <c r="C723" s="9" t="s">
        <v>25</v>
      </c>
      <c r="D723" s="9" t="s">
        <v>37</v>
      </c>
      <c r="E723" s="9">
        <v>53</v>
      </c>
      <c r="F723" s="9">
        <v>1200</v>
      </c>
      <c r="G723" s="9">
        <f>DATOS!$E723*DATOS!$F723</f>
        <v>63600</v>
      </c>
    </row>
    <row r="724" spans="1:7" x14ac:dyDescent="0.3">
      <c r="A724" s="10">
        <v>41967</v>
      </c>
      <c r="B724" s="9" t="s">
        <v>4</v>
      </c>
      <c r="C724" s="9" t="s">
        <v>27</v>
      </c>
      <c r="D724" s="9" t="s">
        <v>32</v>
      </c>
      <c r="E724" s="9">
        <v>1</v>
      </c>
      <c r="F724" s="9">
        <v>820</v>
      </c>
      <c r="G724" s="9">
        <f>DATOS!$E724*DATOS!$F724</f>
        <v>820</v>
      </c>
    </row>
    <row r="725" spans="1:7" x14ac:dyDescent="0.3">
      <c r="A725" s="10">
        <v>40540</v>
      </c>
      <c r="B725" s="9" t="s">
        <v>4</v>
      </c>
      <c r="C725" s="9" t="s">
        <v>27</v>
      </c>
      <c r="D725" s="9" t="s">
        <v>30</v>
      </c>
      <c r="E725" s="9">
        <v>9</v>
      </c>
      <c r="F725" s="9">
        <v>450</v>
      </c>
      <c r="G725" s="9">
        <f>DATOS!$E725*DATOS!$F725</f>
        <v>4050</v>
      </c>
    </row>
    <row r="726" spans="1:7" x14ac:dyDescent="0.3">
      <c r="A726" s="10">
        <v>40511</v>
      </c>
      <c r="B726" s="9" t="s">
        <v>4</v>
      </c>
      <c r="C726" s="9" t="s">
        <v>25</v>
      </c>
      <c r="D726" s="9" t="s">
        <v>33</v>
      </c>
      <c r="E726" s="9">
        <v>249</v>
      </c>
      <c r="F726" s="9">
        <v>650</v>
      </c>
      <c r="G726" s="9">
        <f>DATOS!$E726*DATOS!$F726</f>
        <v>161850</v>
      </c>
    </row>
    <row r="727" spans="1:7" x14ac:dyDescent="0.3">
      <c r="A727" s="10">
        <v>41893</v>
      </c>
      <c r="B727" s="9" t="s">
        <v>4</v>
      </c>
      <c r="C727" s="9" t="s">
        <v>26</v>
      </c>
      <c r="D727" s="9" t="s">
        <v>31</v>
      </c>
      <c r="E727" s="9">
        <v>31</v>
      </c>
      <c r="F727" s="9">
        <v>800</v>
      </c>
      <c r="G727" s="9">
        <f>DATOS!$E727*DATOS!$F727</f>
        <v>24800</v>
      </c>
    </row>
    <row r="728" spans="1:7" x14ac:dyDescent="0.3">
      <c r="A728" s="10">
        <v>41402</v>
      </c>
      <c r="B728" s="9" t="s">
        <v>4</v>
      </c>
      <c r="C728" s="9" t="s">
        <v>29</v>
      </c>
      <c r="D728" s="9" t="s">
        <v>31</v>
      </c>
      <c r="E728" s="9">
        <v>91</v>
      </c>
      <c r="F728" s="9">
        <v>800</v>
      </c>
      <c r="G728" s="9">
        <f>DATOS!$E728*DATOS!$F728</f>
        <v>72800</v>
      </c>
    </row>
    <row r="729" spans="1:7" x14ac:dyDescent="0.3">
      <c r="A729" s="10">
        <v>40216</v>
      </c>
      <c r="B729" s="9" t="s">
        <v>4</v>
      </c>
      <c r="C729" s="9" t="s">
        <v>26</v>
      </c>
      <c r="D729" s="9" t="s">
        <v>30</v>
      </c>
      <c r="E729" s="9">
        <v>12</v>
      </c>
      <c r="F729" s="9">
        <v>450</v>
      </c>
      <c r="G729" s="9">
        <f>DATOS!$E729*DATOS!$F729</f>
        <v>5400</v>
      </c>
    </row>
    <row r="730" spans="1:7" x14ac:dyDescent="0.3">
      <c r="A730" s="10">
        <v>40733</v>
      </c>
      <c r="B730" s="9" t="s">
        <v>4</v>
      </c>
      <c r="C730" s="9" t="s">
        <v>28</v>
      </c>
      <c r="D730" s="9" t="s">
        <v>37</v>
      </c>
      <c r="E730" s="9">
        <v>1</v>
      </c>
      <c r="F730" s="9">
        <v>1200</v>
      </c>
      <c r="G730" s="9">
        <f>DATOS!$E730*DATOS!$F730</f>
        <v>1200</v>
      </c>
    </row>
    <row r="731" spans="1:7" x14ac:dyDescent="0.3">
      <c r="A731" s="10">
        <v>40795</v>
      </c>
      <c r="B731" s="9" t="s">
        <v>4</v>
      </c>
      <c r="C731" s="9" t="s">
        <v>27</v>
      </c>
      <c r="D731" s="9" t="s">
        <v>30</v>
      </c>
      <c r="E731" s="9">
        <v>10</v>
      </c>
      <c r="F731" s="9">
        <v>450</v>
      </c>
      <c r="G731" s="9">
        <f>DATOS!$E731*DATOS!$F731</f>
        <v>4500</v>
      </c>
    </row>
    <row r="732" spans="1:7" x14ac:dyDescent="0.3">
      <c r="A732" s="10">
        <v>40739</v>
      </c>
      <c r="B732" s="9" t="s">
        <v>4</v>
      </c>
      <c r="C732" s="9" t="s">
        <v>29</v>
      </c>
      <c r="D732" s="9" t="s">
        <v>33</v>
      </c>
      <c r="E732" s="9">
        <v>36</v>
      </c>
      <c r="F732" s="9">
        <v>650</v>
      </c>
      <c r="G732" s="9">
        <f>DATOS!$E732*DATOS!$F732</f>
        <v>23400</v>
      </c>
    </row>
    <row r="733" spans="1:7" x14ac:dyDescent="0.3">
      <c r="A733" s="10">
        <v>40614</v>
      </c>
      <c r="B733" s="9" t="s">
        <v>4</v>
      </c>
      <c r="C733" s="9" t="s">
        <v>27</v>
      </c>
      <c r="D733" s="9" t="s">
        <v>31</v>
      </c>
      <c r="E733" s="9">
        <v>16</v>
      </c>
      <c r="F733" s="9">
        <v>800</v>
      </c>
      <c r="G733" s="9">
        <f>DATOS!$E733*DATOS!$F733</f>
        <v>12800</v>
      </c>
    </row>
    <row r="734" spans="1:7" x14ac:dyDescent="0.3">
      <c r="A734" s="10">
        <v>40589</v>
      </c>
      <c r="B734" s="9" t="s">
        <v>4</v>
      </c>
      <c r="C734" s="9" t="s">
        <v>25</v>
      </c>
      <c r="D734" s="9" t="s">
        <v>32</v>
      </c>
      <c r="E734" s="9">
        <v>24</v>
      </c>
      <c r="F734" s="9">
        <v>820</v>
      </c>
      <c r="G734" s="9">
        <f>DATOS!$E734*DATOS!$F734</f>
        <v>19680</v>
      </c>
    </row>
    <row r="735" spans="1:7" x14ac:dyDescent="0.3">
      <c r="A735" s="10">
        <v>41120</v>
      </c>
      <c r="B735" s="9" t="s">
        <v>11</v>
      </c>
      <c r="C735" s="9" t="s">
        <v>29</v>
      </c>
      <c r="D735" s="9" t="s">
        <v>31</v>
      </c>
      <c r="E735" s="9">
        <v>2</v>
      </c>
      <c r="F735" s="9">
        <v>800</v>
      </c>
      <c r="G735" s="9">
        <f>DATOS!$E735*DATOS!$F735</f>
        <v>1600</v>
      </c>
    </row>
    <row r="736" spans="1:7" x14ac:dyDescent="0.3">
      <c r="A736" s="10">
        <v>40987</v>
      </c>
      <c r="B736" s="9" t="s">
        <v>11</v>
      </c>
      <c r="C736" s="9" t="s">
        <v>29</v>
      </c>
      <c r="D736" s="9" t="s">
        <v>32</v>
      </c>
      <c r="E736" s="9">
        <v>172</v>
      </c>
      <c r="F736" s="9">
        <v>950</v>
      </c>
      <c r="G736" s="9">
        <f>DATOS!$E736*DATOS!$F736</f>
        <v>163400</v>
      </c>
    </row>
    <row r="737" spans="1:7" x14ac:dyDescent="0.3">
      <c r="A737" s="10">
        <v>40758</v>
      </c>
      <c r="B737" s="9" t="s">
        <v>11</v>
      </c>
      <c r="C737" s="9" t="s">
        <v>26</v>
      </c>
      <c r="D737" s="9" t="s">
        <v>32</v>
      </c>
      <c r="E737" s="9">
        <v>21</v>
      </c>
      <c r="F737" s="9">
        <v>820</v>
      </c>
      <c r="G737" s="9">
        <f>DATOS!$E737*DATOS!$F737</f>
        <v>17220</v>
      </c>
    </row>
    <row r="738" spans="1:7" x14ac:dyDescent="0.3">
      <c r="A738" s="10">
        <v>40358</v>
      </c>
      <c r="B738" s="9" t="s">
        <v>11</v>
      </c>
      <c r="C738" s="9" t="s">
        <v>26</v>
      </c>
      <c r="D738" s="9" t="s">
        <v>33</v>
      </c>
      <c r="E738" s="9">
        <v>50</v>
      </c>
      <c r="F738" s="9">
        <v>650</v>
      </c>
      <c r="G738" s="9">
        <f>DATOS!$E738*DATOS!$F738</f>
        <v>32500</v>
      </c>
    </row>
    <row r="739" spans="1:7" x14ac:dyDescent="0.3">
      <c r="A739" s="10">
        <v>41323</v>
      </c>
      <c r="B739" s="9" t="s">
        <v>11</v>
      </c>
      <c r="C739" s="9" t="s">
        <v>29</v>
      </c>
      <c r="D739" s="9" t="s">
        <v>31</v>
      </c>
      <c r="E739" s="9">
        <v>43</v>
      </c>
      <c r="F739" s="9">
        <v>800</v>
      </c>
      <c r="G739" s="9">
        <f>DATOS!$E739*DATOS!$F739</f>
        <v>34400</v>
      </c>
    </row>
    <row r="740" spans="1:7" x14ac:dyDescent="0.3">
      <c r="A740" s="10">
        <v>40432</v>
      </c>
      <c r="B740" s="9" t="s">
        <v>11</v>
      </c>
      <c r="C740" s="9" t="s">
        <v>27</v>
      </c>
      <c r="D740" s="9" t="s">
        <v>33</v>
      </c>
      <c r="E740" s="9">
        <v>42</v>
      </c>
      <c r="F740" s="9">
        <v>650</v>
      </c>
      <c r="G740" s="9">
        <f>DATOS!$E740*DATOS!$F740</f>
        <v>27300</v>
      </c>
    </row>
    <row r="741" spans="1:7" x14ac:dyDescent="0.3">
      <c r="A741" s="10">
        <v>40723</v>
      </c>
      <c r="B741" s="9" t="s">
        <v>11</v>
      </c>
      <c r="C741" s="9" t="s">
        <v>27</v>
      </c>
      <c r="D741" s="9" t="s">
        <v>30</v>
      </c>
      <c r="E741" s="9">
        <v>1</v>
      </c>
      <c r="F741" s="9">
        <v>450</v>
      </c>
      <c r="G741" s="9">
        <f>DATOS!$E741*DATOS!$F741</f>
        <v>450</v>
      </c>
    </row>
    <row r="742" spans="1:7" x14ac:dyDescent="0.3">
      <c r="A742" s="10">
        <v>41766</v>
      </c>
      <c r="B742" s="9" t="s">
        <v>11</v>
      </c>
      <c r="C742" s="9" t="s">
        <v>28</v>
      </c>
      <c r="D742" s="9" t="s">
        <v>30</v>
      </c>
      <c r="E742" s="9">
        <v>6</v>
      </c>
      <c r="F742" s="9">
        <v>450</v>
      </c>
      <c r="G742" s="9">
        <f>DATOS!$E742*DATOS!$F742</f>
        <v>2700</v>
      </c>
    </row>
    <row r="743" spans="1:7" x14ac:dyDescent="0.3">
      <c r="A743" s="10">
        <v>41262</v>
      </c>
      <c r="B743" s="9" t="s">
        <v>11</v>
      </c>
      <c r="C743" s="9" t="s">
        <v>26</v>
      </c>
      <c r="D743" s="9" t="s">
        <v>37</v>
      </c>
      <c r="E743" s="9">
        <v>10</v>
      </c>
      <c r="F743" s="9">
        <v>1200</v>
      </c>
      <c r="G743" s="9">
        <f>DATOS!$E743*DATOS!$F743</f>
        <v>12000</v>
      </c>
    </row>
    <row r="744" spans="1:7" x14ac:dyDescent="0.3">
      <c r="A744" s="10">
        <v>41033</v>
      </c>
      <c r="B744" s="9" t="s">
        <v>11</v>
      </c>
      <c r="C744" s="9" t="s">
        <v>28</v>
      </c>
      <c r="D744" s="9" t="s">
        <v>31</v>
      </c>
      <c r="E744" s="9">
        <v>21</v>
      </c>
      <c r="F744" s="9">
        <v>800</v>
      </c>
      <c r="G744" s="9">
        <f>DATOS!$E744*DATOS!$F744</f>
        <v>16800</v>
      </c>
    </row>
    <row r="745" spans="1:7" x14ac:dyDescent="0.3">
      <c r="A745" s="10">
        <v>40881</v>
      </c>
      <c r="B745" s="9" t="s">
        <v>11</v>
      </c>
      <c r="C745" s="9" t="s">
        <v>28</v>
      </c>
      <c r="D745" s="9" t="s">
        <v>37</v>
      </c>
      <c r="E745" s="9">
        <v>18</v>
      </c>
      <c r="F745" s="9">
        <v>1200</v>
      </c>
      <c r="G745" s="9">
        <f>DATOS!$E745*DATOS!$F745</f>
        <v>21600</v>
      </c>
    </row>
    <row r="746" spans="1:7" x14ac:dyDescent="0.3">
      <c r="A746" s="10">
        <v>40934</v>
      </c>
      <c r="B746" s="9" t="s">
        <v>11</v>
      </c>
      <c r="C746" s="9" t="s">
        <v>27</v>
      </c>
      <c r="D746" s="9" t="s">
        <v>33</v>
      </c>
      <c r="E746" s="9">
        <v>31</v>
      </c>
      <c r="F746" s="9">
        <v>650</v>
      </c>
      <c r="G746" s="9">
        <f>DATOS!$E746*DATOS!$F746</f>
        <v>20150</v>
      </c>
    </row>
    <row r="747" spans="1:7" x14ac:dyDescent="0.3">
      <c r="A747" s="10">
        <v>41439</v>
      </c>
      <c r="B747" s="9" t="s">
        <v>11</v>
      </c>
      <c r="C747" s="9" t="s">
        <v>27</v>
      </c>
      <c r="D747" s="9" t="s">
        <v>32</v>
      </c>
      <c r="E747" s="9">
        <v>42</v>
      </c>
      <c r="F747" s="9">
        <v>820</v>
      </c>
      <c r="G747" s="9">
        <f>DATOS!$E747*DATOS!$F747</f>
        <v>34440</v>
      </c>
    </row>
    <row r="748" spans="1:7" x14ac:dyDescent="0.3">
      <c r="A748" s="10">
        <v>40805</v>
      </c>
      <c r="B748" s="9" t="s">
        <v>11</v>
      </c>
      <c r="C748" s="9" t="s">
        <v>28</v>
      </c>
      <c r="D748" s="9" t="s">
        <v>37</v>
      </c>
      <c r="E748" s="9">
        <v>16</v>
      </c>
      <c r="F748" s="9">
        <v>1200</v>
      </c>
      <c r="G748" s="9">
        <f>DATOS!$E748*DATOS!$F748</f>
        <v>19200</v>
      </c>
    </row>
    <row r="749" spans="1:7" x14ac:dyDescent="0.3">
      <c r="A749" s="10">
        <v>40469</v>
      </c>
      <c r="B749" s="9" t="s">
        <v>11</v>
      </c>
      <c r="C749" s="9" t="s">
        <v>29</v>
      </c>
      <c r="D749" s="9" t="s">
        <v>32</v>
      </c>
      <c r="E749" s="9">
        <v>173</v>
      </c>
      <c r="F749" s="9">
        <v>950</v>
      </c>
      <c r="G749" s="9">
        <f>DATOS!$E749*DATOS!$F749</f>
        <v>164350</v>
      </c>
    </row>
    <row r="750" spans="1:7" x14ac:dyDescent="0.3">
      <c r="A750" s="10">
        <v>41561</v>
      </c>
      <c r="B750" s="9" t="s">
        <v>11</v>
      </c>
      <c r="C750" s="9" t="s">
        <v>26</v>
      </c>
      <c r="D750" s="9" t="s">
        <v>37</v>
      </c>
      <c r="E750" s="9">
        <v>185</v>
      </c>
      <c r="F750" s="9">
        <v>1200</v>
      </c>
      <c r="G750" s="9">
        <f>DATOS!$E750*DATOS!$F750</f>
        <v>222000</v>
      </c>
    </row>
    <row r="751" spans="1:7" x14ac:dyDescent="0.3">
      <c r="A751" s="10">
        <v>41403</v>
      </c>
      <c r="B751" s="9" t="s">
        <v>11</v>
      </c>
      <c r="C751" s="9" t="s">
        <v>24</v>
      </c>
      <c r="D751" s="9" t="s">
        <v>37</v>
      </c>
      <c r="E751" s="9">
        <v>89</v>
      </c>
      <c r="F751" s="9">
        <v>1200</v>
      </c>
      <c r="G751" s="9">
        <f>DATOS!$E751*DATOS!$F751</f>
        <v>106800</v>
      </c>
    </row>
    <row r="752" spans="1:7" x14ac:dyDescent="0.3">
      <c r="A752" s="10">
        <v>41747</v>
      </c>
      <c r="B752" s="9" t="s">
        <v>11</v>
      </c>
      <c r="C752" s="9" t="s">
        <v>28</v>
      </c>
      <c r="D752" s="9" t="s">
        <v>30</v>
      </c>
      <c r="E752" s="9">
        <v>10</v>
      </c>
      <c r="F752" s="9">
        <v>450</v>
      </c>
      <c r="G752" s="9">
        <f>DATOS!$E752*DATOS!$F752</f>
        <v>4500</v>
      </c>
    </row>
    <row r="753" spans="1:7" x14ac:dyDescent="0.3">
      <c r="A753" s="10">
        <v>40709</v>
      </c>
      <c r="B753" s="9" t="s">
        <v>11</v>
      </c>
      <c r="C753" s="9" t="s">
        <v>25</v>
      </c>
      <c r="D753" s="9" t="s">
        <v>31</v>
      </c>
      <c r="E753" s="9">
        <v>20</v>
      </c>
      <c r="F753" s="9">
        <v>800</v>
      </c>
      <c r="G753" s="9">
        <f>DATOS!$E753*DATOS!$F753</f>
        <v>16000</v>
      </c>
    </row>
    <row r="754" spans="1:7" x14ac:dyDescent="0.3">
      <c r="A754" s="10">
        <v>41590</v>
      </c>
      <c r="B754" s="9" t="s">
        <v>11</v>
      </c>
      <c r="C754" s="9" t="s">
        <v>29</v>
      </c>
      <c r="D754" s="9" t="s">
        <v>32</v>
      </c>
      <c r="E754" s="9">
        <v>17</v>
      </c>
      <c r="F754" s="9">
        <v>820</v>
      </c>
      <c r="G754" s="9">
        <f>DATOS!$E754*DATOS!$F754</f>
        <v>13940</v>
      </c>
    </row>
    <row r="755" spans="1:7" x14ac:dyDescent="0.3">
      <c r="A755" s="10">
        <v>40408</v>
      </c>
      <c r="B755" s="9" t="s">
        <v>11</v>
      </c>
      <c r="C755" s="9" t="s">
        <v>24</v>
      </c>
      <c r="D755" s="9" t="s">
        <v>30</v>
      </c>
      <c r="E755" s="9">
        <v>71</v>
      </c>
      <c r="F755" s="9">
        <v>450</v>
      </c>
      <c r="G755" s="9">
        <f>DATOS!$E755*DATOS!$F755</f>
        <v>31950</v>
      </c>
    </row>
    <row r="756" spans="1:7" x14ac:dyDescent="0.3">
      <c r="A756" s="10">
        <v>40397</v>
      </c>
      <c r="B756" s="9" t="s">
        <v>11</v>
      </c>
      <c r="C756" s="9" t="s">
        <v>24</v>
      </c>
      <c r="D756" s="9" t="s">
        <v>31</v>
      </c>
      <c r="E756" s="9">
        <v>81</v>
      </c>
      <c r="F756" s="9">
        <v>800</v>
      </c>
      <c r="G756" s="9">
        <f>DATOS!$E756*DATOS!$F756</f>
        <v>64800</v>
      </c>
    </row>
    <row r="757" spans="1:7" x14ac:dyDescent="0.3">
      <c r="A757" s="10">
        <v>41037</v>
      </c>
      <c r="B757" s="9" t="s">
        <v>11</v>
      </c>
      <c r="C757" s="9" t="s">
        <v>24</v>
      </c>
      <c r="D757" s="9" t="s">
        <v>33</v>
      </c>
      <c r="E757" s="9">
        <v>43</v>
      </c>
      <c r="F757" s="9">
        <v>650</v>
      </c>
      <c r="G757" s="9">
        <f>DATOS!$E757*DATOS!$F757</f>
        <v>27950</v>
      </c>
    </row>
    <row r="758" spans="1:7" x14ac:dyDescent="0.3">
      <c r="A758" s="10">
        <v>40551</v>
      </c>
      <c r="B758" s="9" t="s">
        <v>11</v>
      </c>
      <c r="C758" s="9" t="s">
        <v>26</v>
      </c>
      <c r="D758" s="9" t="s">
        <v>32</v>
      </c>
      <c r="E758" s="9">
        <v>107</v>
      </c>
      <c r="F758" s="9">
        <v>950</v>
      </c>
      <c r="G758" s="9">
        <f>DATOS!$E758*DATOS!$F758</f>
        <v>101650</v>
      </c>
    </row>
    <row r="759" spans="1:7" x14ac:dyDescent="0.3">
      <c r="A759" s="10">
        <v>41311</v>
      </c>
      <c r="B759" s="9" t="s">
        <v>11</v>
      </c>
      <c r="C759" s="9" t="s">
        <v>28</v>
      </c>
      <c r="D759" s="9" t="s">
        <v>30</v>
      </c>
      <c r="E759" s="9">
        <v>4</v>
      </c>
      <c r="F759" s="9">
        <v>450</v>
      </c>
      <c r="G759" s="9">
        <f>DATOS!$E759*DATOS!$F759</f>
        <v>1800</v>
      </c>
    </row>
    <row r="760" spans="1:7" x14ac:dyDescent="0.3">
      <c r="A760" s="10">
        <v>40776</v>
      </c>
      <c r="B760" s="9" t="s">
        <v>11</v>
      </c>
      <c r="C760" s="9" t="s">
        <v>28</v>
      </c>
      <c r="D760" s="9" t="s">
        <v>31</v>
      </c>
      <c r="E760" s="9">
        <v>23</v>
      </c>
      <c r="F760" s="9">
        <v>800</v>
      </c>
      <c r="G760" s="9">
        <f>DATOS!$E760*DATOS!$F760</f>
        <v>18400</v>
      </c>
    </row>
    <row r="761" spans="1:7" x14ac:dyDescent="0.3">
      <c r="A761" s="10">
        <v>40591</v>
      </c>
      <c r="B761" s="9" t="s">
        <v>11</v>
      </c>
      <c r="C761" s="9" t="s">
        <v>29</v>
      </c>
      <c r="D761" s="9" t="s">
        <v>30</v>
      </c>
      <c r="E761" s="9">
        <v>32</v>
      </c>
      <c r="F761" s="9">
        <v>450</v>
      </c>
      <c r="G761" s="9">
        <f>DATOS!$E761*DATOS!$F761</f>
        <v>14400</v>
      </c>
    </row>
    <row r="762" spans="1:7" x14ac:dyDescent="0.3">
      <c r="A762" s="10">
        <v>41285</v>
      </c>
      <c r="B762" s="9" t="s">
        <v>11</v>
      </c>
      <c r="C762" s="9" t="s">
        <v>28</v>
      </c>
      <c r="D762" s="9" t="s">
        <v>31</v>
      </c>
      <c r="E762" s="9">
        <v>49</v>
      </c>
      <c r="F762" s="9">
        <v>800</v>
      </c>
      <c r="G762" s="9">
        <f>DATOS!$E762*DATOS!$F762</f>
        <v>39200</v>
      </c>
    </row>
    <row r="763" spans="1:7" x14ac:dyDescent="0.3">
      <c r="A763" s="10">
        <v>41882</v>
      </c>
      <c r="B763" s="9" t="s">
        <v>11</v>
      </c>
      <c r="C763" s="9" t="s">
        <v>27</v>
      </c>
      <c r="D763" s="9" t="s">
        <v>31</v>
      </c>
      <c r="E763" s="9">
        <v>9</v>
      </c>
      <c r="F763" s="9">
        <v>800</v>
      </c>
      <c r="G763" s="9">
        <f>DATOS!$E763*DATOS!$F763</f>
        <v>7200</v>
      </c>
    </row>
    <row r="764" spans="1:7" x14ac:dyDescent="0.3">
      <c r="A764" s="10">
        <v>41235</v>
      </c>
      <c r="B764" s="9" t="s">
        <v>11</v>
      </c>
      <c r="C764" s="9" t="s">
        <v>27</v>
      </c>
      <c r="D764" s="9" t="s">
        <v>33</v>
      </c>
      <c r="E764" s="9">
        <v>3</v>
      </c>
      <c r="F764" s="9">
        <v>650</v>
      </c>
      <c r="G764" s="9">
        <f>DATOS!$E764*DATOS!$F764</f>
        <v>1950</v>
      </c>
    </row>
    <row r="765" spans="1:7" x14ac:dyDescent="0.3">
      <c r="A765" s="10">
        <v>41622</v>
      </c>
      <c r="B765" s="9" t="s">
        <v>11</v>
      </c>
      <c r="C765" s="9" t="s">
        <v>26</v>
      </c>
      <c r="D765" s="9" t="s">
        <v>30</v>
      </c>
      <c r="E765" s="9">
        <v>116</v>
      </c>
      <c r="F765" s="9">
        <v>450</v>
      </c>
      <c r="G765" s="9">
        <f>DATOS!$E765*DATOS!$F765</f>
        <v>52200</v>
      </c>
    </row>
    <row r="766" spans="1:7" x14ac:dyDescent="0.3">
      <c r="A766" s="10">
        <v>41566</v>
      </c>
      <c r="B766" s="9" t="s">
        <v>11</v>
      </c>
      <c r="C766" s="9" t="s">
        <v>27</v>
      </c>
      <c r="D766" s="9" t="s">
        <v>31</v>
      </c>
      <c r="E766" s="9">
        <v>26</v>
      </c>
      <c r="F766" s="9">
        <v>800</v>
      </c>
      <c r="G766" s="9">
        <f>DATOS!$E766*DATOS!$F766</f>
        <v>20800</v>
      </c>
    </row>
    <row r="767" spans="1:7" x14ac:dyDescent="0.3">
      <c r="A767" s="10">
        <v>41259</v>
      </c>
      <c r="B767" s="9" t="s">
        <v>11</v>
      </c>
      <c r="C767" s="9" t="s">
        <v>29</v>
      </c>
      <c r="D767" s="9" t="s">
        <v>32</v>
      </c>
      <c r="E767" s="9">
        <v>59</v>
      </c>
      <c r="F767" s="9">
        <v>950</v>
      </c>
      <c r="G767" s="9">
        <f>DATOS!$E767*DATOS!$F767</f>
        <v>56050</v>
      </c>
    </row>
    <row r="768" spans="1:7" x14ac:dyDescent="0.3">
      <c r="A768" s="10">
        <v>40954</v>
      </c>
      <c r="B768" s="9" t="s">
        <v>11</v>
      </c>
      <c r="C768" s="9" t="s">
        <v>27</v>
      </c>
      <c r="D768" s="9" t="s">
        <v>32</v>
      </c>
      <c r="E768" s="9">
        <v>96</v>
      </c>
      <c r="F768" s="9">
        <v>820</v>
      </c>
      <c r="G768" s="9">
        <f>DATOS!$E768*DATOS!$F768</f>
        <v>78720</v>
      </c>
    </row>
    <row r="769" spans="1:7" x14ac:dyDescent="0.3">
      <c r="A769" s="10">
        <v>41359</v>
      </c>
      <c r="B769" s="9" t="s">
        <v>11</v>
      </c>
      <c r="C769" s="9" t="s">
        <v>26</v>
      </c>
      <c r="D769" s="9" t="s">
        <v>30</v>
      </c>
      <c r="E769" s="9">
        <v>178</v>
      </c>
      <c r="F769" s="9">
        <v>450</v>
      </c>
      <c r="G769" s="9">
        <f>DATOS!$E769*DATOS!$F769</f>
        <v>80100</v>
      </c>
    </row>
    <row r="770" spans="1:7" x14ac:dyDescent="0.3">
      <c r="A770" s="10">
        <v>41289</v>
      </c>
      <c r="B770" s="9" t="s">
        <v>11</v>
      </c>
      <c r="C770" s="9" t="s">
        <v>26</v>
      </c>
      <c r="D770" s="9" t="s">
        <v>31</v>
      </c>
      <c r="E770" s="9">
        <v>8</v>
      </c>
      <c r="F770" s="9">
        <v>800</v>
      </c>
      <c r="G770" s="9">
        <f>DATOS!$E770*DATOS!$F770</f>
        <v>6400</v>
      </c>
    </row>
    <row r="771" spans="1:7" x14ac:dyDescent="0.3">
      <c r="A771" s="10">
        <v>41161</v>
      </c>
      <c r="B771" s="9" t="s">
        <v>11</v>
      </c>
      <c r="C771" s="9" t="s">
        <v>28</v>
      </c>
      <c r="D771" s="9" t="s">
        <v>32</v>
      </c>
      <c r="E771" s="9">
        <v>6</v>
      </c>
      <c r="F771" s="9">
        <v>820</v>
      </c>
      <c r="G771" s="9">
        <f>DATOS!$E771*DATOS!$F771</f>
        <v>4920</v>
      </c>
    </row>
    <row r="772" spans="1:7" x14ac:dyDescent="0.3">
      <c r="A772" s="10">
        <v>41779</v>
      </c>
      <c r="B772" s="9" t="s">
        <v>11</v>
      </c>
      <c r="C772" s="9" t="s">
        <v>24</v>
      </c>
      <c r="D772" s="9" t="s">
        <v>32</v>
      </c>
      <c r="E772" s="9">
        <v>16</v>
      </c>
      <c r="F772" s="9">
        <v>820</v>
      </c>
      <c r="G772" s="9">
        <f>DATOS!$E772*DATOS!$F772</f>
        <v>13120</v>
      </c>
    </row>
    <row r="773" spans="1:7" x14ac:dyDescent="0.3">
      <c r="A773" s="10">
        <v>41398</v>
      </c>
      <c r="B773" s="9" t="s">
        <v>11</v>
      </c>
      <c r="C773" s="9" t="s">
        <v>27</v>
      </c>
      <c r="D773" s="9" t="s">
        <v>30</v>
      </c>
      <c r="E773" s="9">
        <v>66</v>
      </c>
      <c r="F773" s="9">
        <v>450</v>
      </c>
      <c r="G773" s="9">
        <f>DATOS!$E773*DATOS!$F773</f>
        <v>29700</v>
      </c>
    </row>
    <row r="774" spans="1:7" x14ac:dyDescent="0.3">
      <c r="A774" s="10">
        <v>41187</v>
      </c>
      <c r="B774" s="9" t="s">
        <v>11</v>
      </c>
      <c r="C774" s="9" t="s">
        <v>25</v>
      </c>
      <c r="D774" s="9" t="s">
        <v>31</v>
      </c>
      <c r="E774" s="9">
        <v>46</v>
      </c>
      <c r="F774" s="9">
        <v>800</v>
      </c>
      <c r="G774" s="9">
        <f>DATOS!$E774*DATOS!$F774</f>
        <v>36800</v>
      </c>
    </row>
    <row r="775" spans="1:7" x14ac:dyDescent="0.3">
      <c r="A775" s="10">
        <v>40898</v>
      </c>
      <c r="B775" s="9" t="s">
        <v>11</v>
      </c>
      <c r="C775" s="9" t="s">
        <v>24</v>
      </c>
      <c r="D775" s="9" t="s">
        <v>31</v>
      </c>
      <c r="E775" s="9">
        <v>98</v>
      </c>
      <c r="F775" s="9">
        <v>800</v>
      </c>
      <c r="G775" s="9">
        <f>DATOS!$E775*DATOS!$F775</f>
        <v>78400</v>
      </c>
    </row>
    <row r="776" spans="1:7" x14ac:dyDescent="0.3">
      <c r="A776" s="10">
        <v>40657</v>
      </c>
      <c r="B776" s="9" t="s">
        <v>11</v>
      </c>
      <c r="C776" s="9" t="s">
        <v>24</v>
      </c>
      <c r="D776" s="9" t="s">
        <v>32</v>
      </c>
      <c r="E776" s="9">
        <v>17</v>
      </c>
      <c r="F776" s="9">
        <v>950</v>
      </c>
      <c r="G776" s="9">
        <f>DATOS!$E776*DATOS!$F776</f>
        <v>16150</v>
      </c>
    </row>
    <row r="777" spans="1:7" x14ac:dyDescent="0.3">
      <c r="A777" s="10">
        <v>40437</v>
      </c>
      <c r="B777" s="9" t="s">
        <v>11</v>
      </c>
      <c r="C777" s="9" t="s">
        <v>26</v>
      </c>
      <c r="D777" s="9" t="s">
        <v>37</v>
      </c>
      <c r="E777" s="9">
        <v>41</v>
      </c>
      <c r="F777" s="9">
        <v>1200</v>
      </c>
      <c r="G777" s="9">
        <f>DATOS!$E777*DATOS!$F777</f>
        <v>49200</v>
      </c>
    </row>
    <row r="778" spans="1:7" x14ac:dyDescent="0.3">
      <c r="A778" s="10">
        <v>40195</v>
      </c>
      <c r="B778" s="9" t="s">
        <v>11</v>
      </c>
      <c r="C778" s="9" t="s">
        <v>25</v>
      </c>
      <c r="D778" s="9" t="s">
        <v>37</v>
      </c>
      <c r="E778" s="9">
        <v>230</v>
      </c>
      <c r="F778" s="9">
        <v>1200</v>
      </c>
      <c r="G778" s="9">
        <f>DATOS!$E778*DATOS!$F778</f>
        <v>276000</v>
      </c>
    </row>
    <row r="779" spans="1:7" x14ac:dyDescent="0.3">
      <c r="A779" s="10">
        <v>40391</v>
      </c>
      <c r="B779" s="9" t="s">
        <v>11</v>
      </c>
      <c r="C779" s="9" t="s">
        <v>27</v>
      </c>
      <c r="D779" s="9" t="s">
        <v>32</v>
      </c>
      <c r="E779" s="9">
        <v>13</v>
      </c>
      <c r="F779" s="9">
        <v>820</v>
      </c>
      <c r="G779" s="9">
        <f>DATOS!$E779*DATOS!$F779</f>
        <v>10660</v>
      </c>
    </row>
    <row r="780" spans="1:7" x14ac:dyDescent="0.3">
      <c r="A780" s="10">
        <v>41481</v>
      </c>
      <c r="B780" s="9" t="s">
        <v>11</v>
      </c>
      <c r="C780" s="9" t="s">
        <v>28</v>
      </c>
      <c r="D780" s="9" t="s">
        <v>32</v>
      </c>
      <c r="E780" s="9">
        <v>18</v>
      </c>
      <c r="F780" s="9">
        <v>950</v>
      </c>
      <c r="G780" s="9">
        <f>DATOS!$E780*DATOS!$F780</f>
        <v>17100</v>
      </c>
    </row>
    <row r="781" spans="1:7" x14ac:dyDescent="0.3">
      <c r="A781" s="10">
        <v>41725</v>
      </c>
      <c r="B781" s="9" t="s">
        <v>11</v>
      </c>
      <c r="C781" s="9" t="s">
        <v>28</v>
      </c>
      <c r="D781" s="9" t="s">
        <v>30</v>
      </c>
      <c r="E781" s="9">
        <v>29</v>
      </c>
      <c r="F781" s="9">
        <v>450</v>
      </c>
      <c r="G781" s="9">
        <f>DATOS!$E781*DATOS!$F781</f>
        <v>13050</v>
      </c>
    </row>
    <row r="782" spans="1:7" x14ac:dyDescent="0.3">
      <c r="A782" s="10">
        <v>41223</v>
      </c>
      <c r="B782" s="9" t="s">
        <v>11</v>
      </c>
      <c r="C782" s="9" t="s">
        <v>29</v>
      </c>
      <c r="D782" s="9" t="s">
        <v>31</v>
      </c>
      <c r="E782" s="9">
        <v>9</v>
      </c>
      <c r="F782" s="9">
        <v>800</v>
      </c>
      <c r="G782" s="9">
        <f>DATOS!$E782*DATOS!$F782</f>
        <v>7200</v>
      </c>
    </row>
    <row r="783" spans="1:7" x14ac:dyDescent="0.3">
      <c r="A783" s="10">
        <v>40914</v>
      </c>
      <c r="B783" s="9" t="s">
        <v>11</v>
      </c>
      <c r="C783" s="9" t="s">
        <v>29</v>
      </c>
      <c r="D783" s="9" t="s">
        <v>32</v>
      </c>
      <c r="E783" s="9">
        <v>270</v>
      </c>
      <c r="F783" s="9">
        <v>820</v>
      </c>
      <c r="G783" s="9">
        <f>DATOS!$E783*DATOS!$F783</f>
        <v>221400</v>
      </c>
    </row>
    <row r="784" spans="1:7" x14ac:dyDescent="0.3">
      <c r="A784" s="10">
        <v>40512</v>
      </c>
      <c r="B784" s="9" t="s">
        <v>11</v>
      </c>
      <c r="C784" s="9" t="s">
        <v>24</v>
      </c>
      <c r="D784" s="9" t="s">
        <v>31</v>
      </c>
      <c r="E784" s="9">
        <v>45</v>
      </c>
      <c r="F784" s="9">
        <v>800</v>
      </c>
      <c r="G784" s="9">
        <f>DATOS!$E784*DATOS!$F784</f>
        <v>36000</v>
      </c>
    </row>
    <row r="785" spans="1:7" x14ac:dyDescent="0.3">
      <c r="A785" s="10">
        <v>40199</v>
      </c>
      <c r="B785" s="9" t="s">
        <v>11</v>
      </c>
      <c r="C785" s="9" t="s">
        <v>28</v>
      </c>
      <c r="D785" s="9" t="s">
        <v>31</v>
      </c>
      <c r="E785" s="9">
        <v>8</v>
      </c>
      <c r="F785" s="9">
        <v>800</v>
      </c>
      <c r="G785" s="9">
        <f>DATOS!$E785*DATOS!$F785</f>
        <v>6400</v>
      </c>
    </row>
    <row r="786" spans="1:7" x14ac:dyDescent="0.3">
      <c r="A786" s="10">
        <v>41553</v>
      </c>
      <c r="B786" s="9" t="s">
        <v>11</v>
      </c>
      <c r="C786" s="9" t="s">
        <v>29</v>
      </c>
      <c r="D786" s="9" t="s">
        <v>32</v>
      </c>
      <c r="E786" s="9">
        <v>5</v>
      </c>
      <c r="F786" s="9">
        <v>820</v>
      </c>
      <c r="G786" s="9">
        <f>DATOS!$E786*DATOS!$F786</f>
        <v>4100</v>
      </c>
    </row>
    <row r="787" spans="1:7" x14ac:dyDescent="0.3">
      <c r="A787" s="10">
        <v>41644</v>
      </c>
      <c r="B787" s="9" t="s">
        <v>11</v>
      </c>
      <c r="C787" s="9" t="s">
        <v>25</v>
      </c>
      <c r="D787" s="9" t="s">
        <v>30</v>
      </c>
      <c r="E787" s="9">
        <v>97</v>
      </c>
      <c r="F787" s="9">
        <v>450</v>
      </c>
      <c r="G787" s="9">
        <f>DATOS!$E787*DATOS!$F787</f>
        <v>43650</v>
      </c>
    </row>
    <row r="788" spans="1:7" x14ac:dyDescent="0.3">
      <c r="A788" s="10">
        <v>41901</v>
      </c>
      <c r="B788" s="9" t="s">
        <v>11</v>
      </c>
      <c r="C788" s="9" t="s">
        <v>25</v>
      </c>
      <c r="D788" s="9" t="s">
        <v>32</v>
      </c>
      <c r="E788" s="9">
        <v>31</v>
      </c>
      <c r="F788" s="9">
        <v>950</v>
      </c>
      <c r="G788" s="9">
        <f>DATOS!$E788*DATOS!$F788</f>
        <v>29450</v>
      </c>
    </row>
    <row r="789" spans="1:7" x14ac:dyDescent="0.3">
      <c r="A789" s="10">
        <v>40884</v>
      </c>
      <c r="B789" s="9" t="s">
        <v>11</v>
      </c>
      <c r="C789" s="9" t="s">
        <v>29</v>
      </c>
      <c r="D789" s="9" t="s">
        <v>31</v>
      </c>
      <c r="E789" s="9">
        <v>68</v>
      </c>
      <c r="F789" s="9">
        <v>800</v>
      </c>
      <c r="G789" s="9">
        <f>DATOS!$E789*DATOS!$F789</f>
        <v>54400</v>
      </c>
    </row>
    <row r="790" spans="1:7" x14ac:dyDescent="0.3">
      <c r="A790" s="10">
        <v>40581</v>
      </c>
      <c r="B790" s="9" t="s">
        <v>11</v>
      </c>
      <c r="C790" s="9" t="s">
        <v>24</v>
      </c>
      <c r="D790" s="9" t="s">
        <v>31</v>
      </c>
      <c r="E790" s="9">
        <v>74</v>
      </c>
      <c r="F790" s="9">
        <v>800</v>
      </c>
      <c r="G790" s="9">
        <f>DATOS!$E790*DATOS!$F790</f>
        <v>59200</v>
      </c>
    </row>
    <row r="791" spans="1:7" x14ac:dyDescent="0.3">
      <c r="A791" s="10">
        <v>41402</v>
      </c>
      <c r="B791" s="9" t="s">
        <v>12</v>
      </c>
      <c r="C791" s="9" t="s">
        <v>27</v>
      </c>
      <c r="D791" s="9" t="s">
        <v>31</v>
      </c>
      <c r="E791" s="9">
        <v>39</v>
      </c>
      <c r="F791" s="9">
        <v>800</v>
      </c>
      <c r="G791" s="9">
        <f>DATOS!$E791*DATOS!$F791</f>
        <v>31200</v>
      </c>
    </row>
    <row r="792" spans="1:7" x14ac:dyDescent="0.3">
      <c r="A792" s="10">
        <v>40222</v>
      </c>
      <c r="B792" s="9" t="s">
        <v>12</v>
      </c>
      <c r="C792" s="9" t="s">
        <v>28</v>
      </c>
      <c r="D792" s="9" t="s">
        <v>32</v>
      </c>
      <c r="E792" s="9">
        <v>24</v>
      </c>
      <c r="F792" s="9">
        <v>950</v>
      </c>
      <c r="G792" s="9">
        <f>DATOS!$E792*DATOS!$F792</f>
        <v>22800</v>
      </c>
    </row>
    <row r="793" spans="1:7" x14ac:dyDescent="0.3">
      <c r="A793" s="10">
        <v>40267</v>
      </c>
      <c r="B793" s="9" t="s">
        <v>12</v>
      </c>
      <c r="C793" s="9" t="s">
        <v>28</v>
      </c>
      <c r="D793" s="9" t="s">
        <v>31</v>
      </c>
      <c r="E793" s="9">
        <v>4</v>
      </c>
      <c r="F793" s="9">
        <v>800</v>
      </c>
      <c r="G793" s="9">
        <f>DATOS!$E793*DATOS!$F793</f>
        <v>3200</v>
      </c>
    </row>
    <row r="794" spans="1:7" x14ac:dyDescent="0.3">
      <c r="A794" s="10">
        <v>40768</v>
      </c>
      <c r="B794" s="9" t="s">
        <v>12</v>
      </c>
      <c r="C794" s="9" t="s">
        <v>25</v>
      </c>
      <c r="D794" s="9" t="s">
        <v>32</v>
      </c>
      <c r="E794" s="9">
        <v>159</v>
      </c>
      <c r="F794" s="9">
        <v>950</v>
      </c>
      <c r="G794" s="9">
        <f>DATOS!$E794*DATOS!$F794</f>
        <v>151050</v>
      </c>
    </row>
    <row r="795" spans="1:7" x14ac:dyDescent="0.3">
      <c r="A795" s="10">
        <v>40875</v>
      </c>
      <c r="B795" s="9" t="s">
        <v>12</v>
      </c>
      <c r="C795" s="9" t="s">
        <v>25</v>
      </c>
      <c r="D795" s="9" t="s">
        <v>31</v>
      </c>
      <c r="E795" s="9">
        <v>81</v>
      </c>
      <c r="F795" s="9">
        <v>800</v>
      </c>
      <c r="G795" s="9">
        <f>DATOS!$E795*DATOS!$F795</f>
        <v>64800</v>
      </c>
    </row>
    <row r="796" spans="1:7" x14ac:dyDescent="0.3">
      <c r="A796" s="10">
        <v>41533</v>
      </c>
      <c r="B796" s="9" t="s">
        <v>12</v>
      </c>
      <c r="C796" s="9" t="s">
        <v>26</v>
      </c>
      <c r="D796" s="9" t="s">
        <v>30</v>
      </c>
      <c r="E796" s="9">
        <v>52</v>
      </c>
      <c r="F796" s="9">
        <v>450</v>
      </c>
      <c r="G796" s="9">
        <f>DATOS!$E796*DATOS!$F796</f>
        <v>23400</v>
      </c>
    </row>
    <row r="797" spans="1:7" x14ac:dyDescent="0.3">
      <c r="A797" s="10">
        <v>41015</v>
      </c>
      <c r="B797" s="9" t="s">
        <v>12</v>
      </c>
      <c r="C797" s="9" t="s">
        <v>25</v>
      </c>
      <c r="D797" s="9" t="s">
        <v>37</v>
      </c>
      <c r="E797" s="9">
        <v>104</v>
      </c>
      <c r="F797" s="9">
        <v>1200</v>
      </c>
      <c r="G797" s="9">
        <f>DATOS!$E797*DATOS!$F797</f>
        <v>124800</v>
      </c>
    </row>
    <row r="798" spans="1:7" x14ac:dyDescent="0.3">
      <c r="A798" s="10">
        <v>41103</v>
      </c>
      <c r="B798" s="9" t="s">
        <v>12</v>
      </c>
      <c r="C798" s="9" t="s">
        <v>27</v>
      </c>
      <c r="D798" s="9" t="s">
        <v>32</v>
      </c>
      <c r="E798" s="9">
        <v>15</v>
      </c>
      <c r="F798" s="9">
        <v>950</v>
      </c>
      <c r="G798" s="9">
        <f>DATOS!$E798*DATOS!$F798</f>
        <v>14250</v>
      </c>
    </row>
    <row r="799" spans="1:7" x14ac:dyDescent="0.3">
      <c r="A799" s="10">
        <v>40479</v>
      </c>
      <c r="B799" s="9" t="s">
        <v>12</v>
      </c>
      <c r="C799" s="9" t="s">
        <v>28</v>
      </c>
      <c r="D799" s="9" t="s">
        <v>32</v>
      </c>
      <c r="E799" s="9">
        <v>4</v>
      </c>
      <c r="F799" s="9">
        <v>820</v>
      </c>
      <c r="G799" s="9">
        <f>DATOS!$E799*DATOS!$F799</f>
        <v>3280</v>
      </c>
    </row>
    <row r="800" spans="1:7" x14ac:dyDescent="0.3">
      <c r="A800" s="10">
        <v>41404</v>
      </c>
      <c r="B800" s="9" t="s">
        <v>12</v>
      </c>
      <c r="C800" s="9" t="s">
        <v>27</v>
      </c>
      <c r="D800" s="9" t="s">
        <v>32</v>
      </c>
      <c r="E800" s="9">
        <v>9</v>
      </c>
      <c r="F800" s="9">
        <v>950</v>
      </c>
      <c r="G800" s="9">
        <f>DATOS!$E800*DATOS!$F800</f>
        <v>8550</v>
      </c>
    </row>
    <row r="801" spans="1:7" x14ac:dyDescent="0.3">
      <c r="A801" s="10">
        <v>40468</v>
      </c>
      <c r="B801" s="9" t="s">
        <v>12</v>
      </c>
      <c r="C801" s="9" t="s">
        <v>29</v>
      </c>
      <c r="D801" s="9" t="s">
        <v>32</v>
      </c>
      <c r="E801" s="9">
        <v>49</v>
      </c>
      <c r="F801" s="9">
        <v>820</v>
      </c>
      <c r="G801" s="9">
        <f>DATOS!$E801*DATOS!$F801</f>
        <v>40180</v>
      </c>
    </row>
    <row r="802" spans="1:7" x14ac:dyDescent="0.3">
      <c r="A802" s="10">
        <v>40912</v>
      </c>
      <c r="B802" s="9" t="s">
        <v>12</v>
      </c>
      <c r="C802" s="9" t="s">
        <v>29</v>
      </c>
      <c r="D802" s="9" t="s">
        <v>32</v>
      </c>
      <c r="E802" s="9">
        <v>86</v>
      </c>
      <c r="F802" s="9">
        <v>820</v>
      </c>
      <c r="G802" s="9">
        <f>DATOS!$E802*DATOS!$F802</f>
        <v>70520</v>
      </c>
    </row>
    <row r="803" spans="1:7" x14ac:dyDescent="0.3">
      <c r="A803" s="10">
        <v>40573</v>
      </c>
      <c r="B803" s="9" t="s">
        <v>12</v>
      </c>
      <c r="C803" s="9" t="s">
        <v>28</v>
      </c>
      <c r="D803" s="9" t="s">
        <v>30</v>
      </c>
      <c r="E803" s="9">
        <v>1</v>
      </c>
      <c r="F803" s="9">
        <v>450</v>
      </c>
      <c r="G803" s="9">
        <f>DATOS!$E803*DATOS!$F803</f>
        <v>450</v>
      </c>
    </row>
    <row r="804" spans="1:7" x14ac:dyDescent="0.3">
      <c r="A804" s="10">
        <v>40380</v>
      </c>
      <c r="B804" s="9" t="s">
        <v>12</v>
      </c>
      <c r="C804" s="9" t="s">
        <v>27</v>
      </c>
      <c r="D804" s="9" t="s">
        <v>31</v>
      </c>
      <c r="E804" s="9">
        <v>49</v>
      </c>
      <c r="F804" s="9">
        <v>800</v>
      </c>
      <c r="G804" s="9">
        <f>DATOS!$E804*DATOS!$F804</f>
        <v>39200</v>
      </c>
    </row>
    <row r="805" spans="1:7" x14ac:dyDescent="0.3">
      <c r="A805" s="10">
        <v>41911</v>
      </c>
      <c r="B805" s="9" t="s">
        <v>12</v>
      </c>
      <c r="C805" s="9" t="s">
        <v>24</v>
      </c>
      <c r="D805" s="9" t="s">
        <v>32</v>
      </c>
      <c r="E805" s="9">
        <v>18</v>
      </c>
      <c r="F805" s="9">
        <v>950</v>
      </c>
      <c r="G805" s="9">
        <f>DATOS!$E805*DATOS!$F805</f>
        <v>17100</v>
      </c>
    </row>
    <row r="806" spans="1:7" x14ac:dyDescent="0.3">
      <c r="A806" s="10">
        <v>40238</v>
      </c>
      <c r="B806" s="9" t="s">
        <v>12</v>
      </c>
      <c r="C806" s="9" t="s">
        <v>26</v>
      </c>
      <c r="D806" s="9" t="s">
        <v>32</v>
      </c>
      <c r="E806" s="9">
        <v>9</v>
      </c>
      <c r="F806" s="9">
        <v>950</v>
      </c>
      <c r="G806" s="9">
        <f>DATOS!$E806*DATOS!$F806</f>
        <v>8550</v>
      </c>
    </row>
    <row r="807" spans="1:7" x14ac:dyDescent="0.3">
      <c r="A807" s="10">
        <v>41130</v>
      </c>
      <c r="B807" s="9" t="s">
        <v>12</v>
      </c>
      <c r="C807" s="9" t="s">
        <v>24</v>
      </c>
      <c r="D807" s="9" t="s">
        <v>32</v>
      </c>
      <c r="E807" s="9">
        <v>45</v>
      </c>
      <c r="F807" s="9">
        <v>820</v>
      </c>
      <c r="G807" s="9">
        <f>DATOS!$E807*DATOS!$F807</f>
        <v>36900</v>
      </c>
    </row>
    <row r="808" spans="1:7" x14ac:dyDescent="0.3">
      <c r="A808" s="10">
        <v>40422</v>
      </c>
      <c r="B808" s="9" t="s">
        <v>12</v>
      </c>
      <c r="C808" s="9" t="s">
        <v>26</v>
      </c>
      <c r="D808" s="9" t="s">
        <v>31</v>
      </c>
      <c r="E808" s="9">
        <v>141</v>
      </c>
      <c r="F808" s="9">
        <v>800</v>
      </c>
      <c r="G808" s="9">
        <f>DATOS!$E808*DATOS!$F808</f>
        <v>112800</v>
      </c>
    </row>
    <row r="809" spans="1:7" x14ac:dyDescent="0.3">
      <c r="A809" s="10">
        <v>40502</v>
      </c>
      <c r="B809" s="9" t="s">
        <v>12</v>
      </c>
      <c r="C809" s="9" t="s">
        <v>24</v>
      </c>
      <c r="D809" s="9" t="s">
        <v>32</v>
      </c>
      <c r="E809" s="9">
        <v>46</v>
      </c>
      <c r="F809" s="9">
        <v>820</v>
      </c>
      <c r="G809" s="9">
        <f>DATOS!$E809*DATOS!$F809</f>
        <v>37720</v>
      </c>
    </row>
    <row r="810" spans="1:7" x14ac:dyDescent="0.3">
      <c r="A810" s="10">
        <v>41929</v>
      </c>
      <c r="B810" s="9" t="s">
        <v>12</v>
      </c>
      <c r="C810" s="9" t="s">
        <v>25</v>
      </c>
      <c r="D810" s="9" t="s">
        <v>33</v>
      </c>
      <c r="E810" s="9">
        <v>94</v>
      </c>
      <c r="F810" s="9">
        <v>650</v>
      </c>
      <c r="G810" s="9">
        <f>DATOS!$E810*DATOS!$F810</f>
        <v>61100</v>
      </c>
    </row>
    <row r="811" spans="1:7" x14ac:dyDescent="0.3">
      <c r="A811" s="10">
        <v>40530</v>
      </c>
      <c r="B811" s="9" t="s">
        <v>12</v>
      </c>
      <c r="C811" s="9" t="s">
        <v>25</v>
      </c>
      <c r="D811" s="9" t="s">
        <v>30</v>
      </c>
      <c r="E811" s="9">
        <v>29</v>
      </c>
      <c r="F811" s="9">
        <v>450</v>
      </c>
      <c r="G811" s="9">
        <f>DATOS!$E811*DATOS!$F811</f>
        <v>13050</v>
      </c>
    </row>
    <row r="812" spans="1:7" x14ac:dyDescent="0.3">
      <c r="A812" s="10">
        <v>40833</v>
      </c>
      <c r="B812" s="9" t="s">
        <v>12</v>
      </c>
      <c r="C812" s="9" t="s">
        <v>29</v>
      </c>
      <c r="D812" s="9" t="s">
        <v>31</v>
      </c>
      <c r="E812" s="9">
        <v>1</v>
      </c>
      <c r="F812" s="9">
        <v>800</v>
      </c>
      <c r="G812" s="9">
        <f>DATOS!$E812*DATOS!$F812</f>
        <v>800</v>
      </c>
    </row>
    <row r="813" spans="1:7" x14ac:dyDescent="0.3">
      <c r="A813" s="10">
        <v>40579</v>
      </c>
      <c r="B813" s="9" t="s">
        <v>12</v>
      </c>
      <c r="C813" s="9" t="s">
        <v>25</v>
      </c>
      <c r="D813" s="9" t="s">
        <v>37</v>
      </c>
      <c r="E813" s="9">
        <v>117</v>
      </c>
      <c r="F813" s="9">
        <v>1200</v>
      </c>
      <c r="G813" s="9">
        <f>DATOS!$E813*DATOS!$F813</f>
        <v>140400</v>
      </c>
    </row>
    <row r="814" spans="1:7" x14ac:dyDescent="0.3">
      <c r="A814" s="10">
        <v>41342</v>
      </c>
      <c r="B814" s="9" t="s">
        <v>12</v>
      </c>
      <c r="C814" s="9" t="s">
        <v>29</v>
      </c>
      <c r="D814" s="9" t="s">
        <v>37</v>
      </c>
      <c r="E814" s="9">
        <v>58</v>
      </c>
      <c r="F814" s="9">
        <v>1200</v>
      </c>
      <c r="G814" s="9">
        <f>DATOS!$E814*DATOS!$F814</f>
        <v>69600</v>
      </c>
    </row>
    <row r="815" spans="1:7" x14ac:dyDescent="0.3">
      <c r="A815" s="10">
        <v>41700</v>
      </c>
      <c r="B815" s="9" t="s">
        <v>12</v>
      </c>
      <c r="C815" s="9" t="s">
        <v>28</v>
      </c>
      <c r="D815" s="9" t="s">
        <v>32</v>
      </c>
      <c r="E815" s="9">
        <v>9</v>
      </c>
      <c r="F815" s="9">
        <v>820</v>
      </c>
      <c r="G815" s="9">
        <f>DATOS!$E815*DATOS!$F815</f>
        <v>7380</v>
      </c>
    </row>
    <row r="816" spans="1:7" x14ac:dyDescent="0.3">
      <c r="A816" s="10">
        <v>41505</v>
      </c>
      <c r="B816" s="9" t="s">
        <v>12</v>
      </c>
      <c r="C816" s="9" t="s">
        <v>29</v>
      </c>
      <c r="D816" s="9" t="s">
        <v>32</v>
      </c>
      <c r="E816" s="9">
        <v>136</v>
      </c>
      <c r="F816" s="9">
        <v>820</v>
      </c>
      <c r="G816" s="9">
        <f>DATOS!$E816*DATOS!$F816</f>
        <v>111520</v>
      </c>
    </row>
    <row r="817" spans="1:7" x14ac:dyDescent="0.3">
      <c r="A817" s="10">
        <v>41754</v>
      </c>
      <c r="B817" s="9" t="s">
        <v>12</v>
      </c>
      <c r="C817" s="9" t="s">
        <v>27</v>
      </c>
      <c r="D817" s="9" t="s">
        <v>31</v>
      </c>
      <c r="E817" s="9">
        <v>8</v>
      </c>
      <c r="F817" s="9">
        <v>800</v>
      </c>
      <c r="G817" s="9">
        <f>DATOS!$E817*DATOS!$F817</f>
        <v>6400</v>
      </c>
    </row>
    <row r="818" spans="1:7" x14ac:dyDescent="0.3">
      <c r="A818" s="10">
        <v>40424</v>
      </c>
      <c r="B818" s="9" t="s">
        <v>12</v>
      </c>
      <c r="C818" s="9" t="s">
        <v>26</v>
      </c>
      <c r="D818" s="9" t="s">
        <v>31</v>
      </c>
      <c r="E818" s="9">
        <v>150</v>
      </c>
      <c r="F818" s="9">
        <v>800</v>
      </c>
      <c r="G818" s="9">
        <f>DATOS!$E818*DATOS!$F818</f>
        <v>120000</v>
      </c>
    </row>
    <row r="819" spans="1:7" x14ac:dyDescent="0.3">
      <c r="A819" s="10">
        <v>41586</v>
      </c>
      <c r="B819" s="9" t="s">
        <v>12</v>
      </c>
      <c r="C819" s="9" t="s">
        <v>27</v>
      </c>
      <c r="D819" s="9" t="s">
        <v>33</v>
      </c>
      <c r="E819" s="9">
        <v>11</v>
      </c>
      <c r="F819" s="9">
        <v>650</v>
      </c>
      <c r="G819" s="9">
        <f>DATOS!$E819*DATOS!$F819</f>
        <v>7150</v>
      </c>
    </row>
    <row r="820" spans="1:7" x14ac:dyDescent="0.3">
      <c r="A820" s="10">
        <v>40735</v>
      </c>
      <c r="B820" s="9" t="s">
        <v>12</v>
      </c>
      <c r="C820" s="9" t="s">
        <v>29</v>
      </c>
      <c r="D820" s="9" t="s">
        <v>33</v>
      </c>
      <c r="E820" s="9">
        <v>83</v>
      </c>
      <c r="F820" s="9">
        <v>650</v>
      </c>
      <c r="G820" s="9">
        <f>DATOS!$E820*DATOS!$F820</f>
        <v>53950</v>
      </c>
    </row>
    <row r="821" spans="1:7" x14ac:dyDescent="0.3">
      <c r="A821" s="10">
        <v>41091</v>
      </c>
      <c r="B821" s="9" t="s">
        <v>12</v>
      </c>
      <c r="C821" s="9" t="s">
        <v>28</v>
      </c>
      <c r="D821" s="9" t="s">
        <v>30</v>
      </c>
      <c r="E821" s="9">
        <v>16</v>
      </c>
      <c r="F821" s="9">
        <v>450</v>
      </c>
      <c r="G821" s="9">
        <f>DATOS!$E821*DATOS!$F821</f>
        <v>7200</v>
      </c>
    </row>
    <row r="822" spans="1:7" x14ac:dyDescent="0.3">
      <c r="A822" s="10">
        <v>40531</v>
      </c>
      <c r="B822" s="9" t="s">
        <v>12</v>
      </c>
      <c r="C822" s="9" t="s">
        <v>25</v>
      </c>
      <c r="D822" s="9" t="s">
        <v>32</v>
      </c>
      <c r="E822" s="9">
        <v>14</v>
      </c>
      <c r="F822" s="9">
        <v>820</v>
      </c>
      <c r="G822" s="9">
        <f>DATOS!$E822*DATOS!$F822</f>
        <v>11480</v>
      </c>
    </row>
    <row r="823" spans="1:7" x14ac:dyDescent="0.3">
      <c r="A823" s="10">
        <v>41046</v>
      </c>
      <c r="B823" s="9" t="s">
        <v>12</v>
      </c>
      <c r="C823" s="9" t="s">
        <v>28</v>
      </c>
      <c r="D823" s="9" t="s">
        <v>37</v>
      </c>
      <c r="E823" s="9">
        <v>3</v>
      </c>
      <c r="F823" s="9">
        <v>1200</v>
      </c>
      <c r="G823" s="9">
        <f>DATOS!$E823*DATOS!$F823</f>
        <v>3600</v>
      </c>
    </row>
    <row r="824" spans="1:7" x14ac:dyDescent="0.3">
      <c r="A824" s="10">
        <v>40484</v>
      </c>
      <c r="B824" s="9" t="s">
        <v>12</v>
      </c>
      <c r="C824" s="9" t="s">
        <v>25</v>
      </c>
      <c r="D824" s="9" t="s">
        <v>30</v>
      </c>
      <c r="E824" s="9">
        <v>165</v>
      </c>
      <c r="F824" s="9">
        <v>450</v>
      </c>
      <c r="G824" s="9">
        <f>DATOS!$E824*DATOS!$F824</f>
        <v>74250</v>
      </c>
    </row>
    <row r="825" spans="1:7" x14ac:dyDescent="0.3">
      <c r="A825" s="10">
        <v>40295</v>
      </c>
      <c r="B825" s="9" t="s">
        <v>12</v>
      </c>
      <c r="C825" s="9" t="s">
        <v>25</v>
      </c>
      <c r="D825" s="9" t="s">
        <v>31</v>
      </c>
      <c r="E825" s="9">
        <v>30</v>
      </c>
      <c r="F825" s="9">
        <v>800</v>
      </c>
      <c r="G825" s="9">
        <f>DATOS!$E825*DATOS!$F825</f>
        <v>24000</v>
      </c>
    </row>
    <row r="826" spans="1:7" x14ac:dyDescent="0.3">
      <c r="A826" s="10">
        <v>40903</v>
      </c>
      <c r="B826" s="9" t="s">
        <v>12</v>
      </c>
      <c r="C826" s="9" t="s">
        <v>25</v>
      </c>
      <c r="D826" s="9" t="s">
        <v>33</v>
      </c>
      <c r="E826" s="9">
        <v>226</v>
      </c>
      <c r="F826" s="9">
        <v>650</v>
      </c>
      <c r="G826" s="9">
        <f>DATOS!$E826*DATOS!$F826</f>
        <v>146900</v>
      </c>
    </row>
    <row r="827" spans="1:7" x14ac:dyDescent="0.3">
      <c r="A827" s="10">
        <v>41049</v>
      </c>
      <c r="B827" s="9" t="s">
        <v>12</v>
      </c>
      <c r="C827" s="9" t="s">
        <v>26</v>
      </c>
      <c r="D827" s="9" t="s">
        <v>32</v>
      </c>
      <c r="E827" s="9">
        <v>18</v>
      </c>
      <c r="F827" s="9">
        <v>950</v>
      </c>
      <c r="G827" s="9">
        <f>DATOS!$E827*DATOS!$F827</f>
        <v>17100</v>
      </c>
    </row>
    <row r="828" spans="1:7" x14ac:dyDescent="0.3">
      <c r="A828" s="10">
        <v>40637</v>
      </c>
      <c r="B828" s="9" t="s">
        <v>12</v>
      </c>
      <c r="C828" s="9" t="s">
        <v>26</v>
      </c>
      <c r="D828" s="9" t="s">
        <v>37</v>
      </c>
      <c r="E828" s="9">
        <v>45</v>
      </c>
      <c r="F828" s="9">
        <v>1200</v>
      </c>
      <c r="G828" s="9">
        <f>DATOS!$E828*DATOS!$F828</f>
        <v>54000</v>
      </c>
    </row>
    <row r="829" spans="1:7" x14ac:dyDescent="0.3">
      <c r="A829" s="10">
        <v>40839</v>
      </c>
      <c r="B829" s="9" t="s">
        <v>12</v>
      </c>
      <c r="C829" s="9" t="s">
        <v>27</v>
      </c>
      <c r="D829" s="9" t="s">
        <v>32</v>
      </c>
      <c r="E829" s="9">
        <v>27</v>
      </c>
      <c r="F829" s="9">
        <v>950</v>
      </c>
      <c r="G829" s="9">
        <f>DATOS!$E829*DATOS!$F829</f>
        <v>25650</v>
      </c>
    </row>
    <row r="830" spans="1:7" x14ac:dyDescent="0.3">
      <c r="A830" s="10">
        <v>40565</v>
      </c>
      <c r="B830" s="9" t="s">
        <v>12</v>
      </c>
      <c r="C830" s="9" t="s">
        <v>25</v>
      </c>
      <c r="D830" s="9" t="s">
        <v>31</v>
      </c>
      <c r="E830" s="9">
        <v>84</v>
      </c>
      <c r="F830" s="9">
        <v>800</v>
      </c>
      <c r="G830" s="9">
        <f>DATOS!$E830*DATOS!$F830</f>
        <v>67200</v>
      </c>
    </row>
    <row r="831" spans="1:7" x14ac:dyDescent="0.3">
      <c r="A831" s="10">
        <v>40664</v>
      </c>
      <c r="B831" s="9" t="s">
        <v>12</v>
      </c>
      <c r="C831" s="9" t="s">
        <v>24</v>
      </c>
      <c r="D831" s="9" t="s">
        <v>33</v>
      </c>
      <c r="E831" s="9">
        <v>54</v>
      </c>
      <c r="F831" s="9">
        <v>650</v>
      </c>
      <c r="G831" s="9">
        <f>DATOS!$E831*DATOS!$F831</f>
        <v>35100</v>
      </c>
    </row>
    <row r="832" spans="1:7" x14ac:dyDescent="0.3">
      <c r="A832" s="10">
        <v>41748</v>
      </c>
      <c r="B832" s="9" t="s">
        <v>12</v>
      </c>
      <c r="C832" s="9" t="s">
        <v>29</v>
      </c>
      <c r="D832" s="9" t="s">
        <v>32</v>
      </c>
      <c r="E832" s="9">
        <v>53</v>
      </c>
      <c r="F832" s="9">
        <v>820</v>
      </c>
      <c r="G832" s="9">
        <f>DATOS!$E832*DATOS!$F832</f>
        <v>43460</v>
      </c>
    </row>
    <row r="833" spans="1:7" x14ac:dyDescent="0.3">
      <c r="A833" s="10">
        <v>40923</v>
      </c>
      <c r="B833" s="9" t="s">
        <v>12</v>
      </c>
      <c r="C833" s="9" t="s">
        <v>28</v>
      </c>
      <c r="D833" s="9" t="s">
        <v>32</v>
      </c>
      <c r="E833" s="9">
        <v>16</v>
      </c>
      <c r="F833" s="9">
        <v>950</v>
      </c>
      <c r="G833" s="9">
        <f>DATOS!$E833*DATOS!$F833</f>
        <v>15200</v>
      </c>
    </row>
    <row r="834" spans="1:7" x14ac:dyDescent="0.3">
      <c r="A834" s="10">
        <v>41804</v>
      </c>
      <c r="B834" s="9" t="s">
        <v>12</v>
      </c>
      <c r="C834" s="9" t="s">
        <v>29</v>
      </c>
      <c r="D834" s="9" t="s">
        <v>31</v>
      </c>
      <c r="E834" s="9">
        <v>81</v>
      </c>
      <c r="F834" s="9">
        <v>800</v>
      </c>
      <c r="G834" s="9">
        <f>DATOS!$E834*DATOS!$F834</f>
        <v>64800</v>
      </c>
    </row>
    <row r="835" spans="1:7" x14ac:dyDescent="0.3">
      <c r="A835" s="10">
        <v>40582</v>
      </c>
      <c r="B835" s="9" t="s">
        <v>12</v>
      </c>
      <c r="C835" s="9" t="s">
        <v>25</v>
      </c>
      <c r="D835" s="9" t="s">
        <v>32</v>
      </c>
      <c r="E835" s="9">
        <v>73</v>
      </c>
      <c r="F835" s="9">
        <v>950</v>
      </c>
      <c r="G835" s="9">
        <f>DATOS!$E835*DATOS!$F835</f>
        <v>69350</v>
      </c>
    </row>
    <row r="836" spans="1:7" x14ac:dyDescent="0.3">
      <c r="A836" s="10">
        <v>41714</v>
      </c>
      <c r="B836" s="9" t="s">
        <v>12</v>
      </c>
      <c r="C836" s="9" t="s">
        <v>27</v>
      </c>
      <c r="D836" s="9" t="s">
        <v>32</v>
      </c>
      <c r="E836" s="9">
        <v>14</v>
      </c>
      <c r="F836" s="9">
        <v>950</v>
      </c>
      <c r="G836" s="9">
        <f>DATOS!$E836*DATOS!$F836</f>
        <v>13300</v>
      </c>
    </row>
    <row r="837" spans="1:7" x14ac:dyDescent="0.3">
      <c r="A837" s="10">
        <v>40502</v>
      </c>
      <c r="B837" s="9" t="s">
        <v>12</v>
      </c>
      <c r="C837" s="9" t="s">
        <v>24</v>
      </c>
      <c r="D837" s="9" t="s">
        <v>31</v>
      </c>
      <c r="E837" s="9">
        <v>9</v>
      </c>
      <c r="F837" s="9">
        <v>800</v>
      </c>
      <c r="G837" s="9">
        <f>DATOS!$E837*DATOS!$F837</f>
        <v>7200</v>
      </c>
    </row>
    <row r="838" spans="1:7" x14ac:dyDescent="0.3">
      <c r="A838" s="10">
        <v>40247</v>
      </c>
      <c r="B838" s="9" t="s">
        <v>12</v>
      </c>
      <c r="C838" s="9" t="s">
        <v>27</v>
      </c>
      <c r="D838" s="9" t="s">
        <v>32</v>
      </c>
      <c r="E838" s="9">
        <v>9</v>
      </c>
      <c r="F838" s="9">
        <v>820</v>
      </c>
      <c r="G838" s="9">
        <f>DATOS!$E838*DATOS!$F838</f>
        <v>7380</v>
      </c>
    </row>
    <row r="839" spans="1:7" x14ac:dyDescent="0.3">
      <c r="A839" s="10">
        <v>40321</v>
      </c>
      <c r="B839" s="9" t="s">
        <v>12</v>
      </c>
      <c r="C839" s="9" t="s">
        <v>27</v>
      </c>
      <c r="D839" s="9" t="s">
        <v>33</v>
      </c>
      <c r="E839" s="9">
        <v>5</v>
      </c>
      <c r="F839" s="9">
        <v>650</v>
      </c>
      <c r="G839" s="9">
        <f>DATOS!$E839*DATOS!$F839</f>
        <v>3250</v>
      </c>
    </row>
    <row r="840" spans="1:7" x14ac:dyDescent="0.3">
      <c r="A840" s="10">
        <v>41761</v>
      </c>
      <c r="B840" s="9" t="s">
        <v>12</v>
      </c>
      <c r="C840" s="9" t="s">
        <v>24</v>
      </c>
      <c r="D840" s="9" t="s">
        <v>37</v>
      </c>
      <c r="E840" s="9">
        <v>29</v>
      </c>
      <c r="F840" s="9">
        <v>1200</v>
      </c>
      <c r="G840" s="9">
        <f>DATOS!$E840*DATOS!$F840</f>
        <v>34800</v>
      </c>
    </row>
    <row r="841" spans="1:7" x14ac:dyDescent="0.3">
      <c r="A841" s="10">
        <v>40540</v>
      </c>
      <c r="B841" s="9" t="s">
        <v>12</v>
      </c>
      <c r="C841" s="9" t="s">
        <v>24</v>
      </c>
      <c r="D841" s="9" t="s">
        <v>33</v>
      </c>
      <c r="E841" s="9">
        <v>11</v>
      </c>
      <c r="F841" s="9">
        <v>650</v>
      </c>
      <c r="G841" s="9">
        <f>DATOS!$E841*DATOS!$F841</f>
        <v>7150</v>
      </c>
    </row>
    <row r="842" spans="1:7" x14ac:dyDescent="0.3">
      <c r="A842" s="10">
        <v>41522</v>
      </c>
      <c r="B842" s="9" t="s">
        <v>12</v>
      </c>
      <c r="C842" s="9" t="s">
        <v>25</v>
      </c>
      <c r="D842" s="9" t="s">
        <v>31</v>
      </c>
      <c r="E842" s="9">
        <v>91</v>
      </c>
      <c r="F842" s="9">
        <v>800</v>
      </c>
      <c r="G842" s="9">
        <f>DATOS!$E842*DATOS!$F842</f>
        <v>72800</v>
      </c>
    </row>
    <row r="843" spans="1:7" x14ac:dyDescent="0.3">
      <c r="A843" s="10">
        <v>41081</v>
      </c>
      <c r="B843" s="9" t="s">
        <v>12</v>
      </c>
      <c r="C843" s="9" t="s">
        <v>29</v>
      </c>
      <c r="D843" s="9" t="s">
        <v>31</v>
      </c>
      <c r="E843" s="9">
        <v>201</v>
      </c>
      <c r="F843" s="9">
        <v>800</v>
      </c>
      <c r="G843" s="9">
        <f>DATOS!$E843*DATOS!$F843</f>
        <v>160800</v>
      </c>
    </row>
    <row r="844" spans="1:7" x14ac:dyDescent="0.3">
      <c r="A844" s="10">
        <v>41809</v>
      </c>
      <c r="B844" s="9" t="s">
        <v>12</v>
      </c>
      <c r="C844" s="9" t="s">
        <v>26</v>
      </c>
      <c r="D844" s="9" t="s">
        <v>32</v>
      </c>
      <c r="E844" s="9">
        <v>56</v>
      </c>
      <c r="F844" s="9">
        <v>950</v>
      </c>
      <c r="G844" s="9">
        <f>DATOS!$E844*DATOS!$F844</f>
        <v>53200</v>
      </c>
    </row>
    <row r="845" spans="1:7" x14ac:dyDescent="0.3">
      <c r="A845" s="10">
        <v>40190</v>
      </c>
      <c r="B845" s="9" t="s">
        <v>13</v>
      </c>
      <c r="C845" s="9" t="s">
        <v>24</v>
      </c>
      <c r="D845" s="9" t="s">
        <v>31</v>
      </c>
      <c r="E845" s="9">
        <v>56</v>
      </c>
      <c r="F845" s="9">
        <v>800</v>
      </c>
      <c r="G845" s="9">
        <f>DATOS!$E845*DATOS!$F845</f>
        <v>44800</v>
      </c>
    </row>
    <row r="846" spans="1:7" x14ac:dyDescent="0.3">
      <c r="A846" s="10">
        <v>41493</v>
      </c>
      <c r="B846" s="9" t="s">
        <v>13</v>
      </c>
      <c r="C846" s="9" t="s">
        <v>24</v>
      </c>
      <c r="D846" s="9" t="s">
        <v>32</v>
      </c>
      <c r="E846" s="9">
        <v>147</v>
      </c>
      <c r="F846" s="9">
        <v>950</v>
      </c>
      <c r="G846" s="9">
        <f>DATOS!$E846*DATOS!$F846</f>
        <v>139650</v>
      </c>
    </row>
    <row r="847" spans="1:7" x14ac:dyDescent="0.3">
      <c r="A847" s="10">
        <v>40218</v>
      </c>
      <c r="B847" s="9" t="s">
        <v>13</v>
      </c>
      <c r="C847" s="9" t="s">
        <v>28</v>
      </c>
      <c r="D847" s="9" t="s">
        <v>33</v>
      </c>
      <c r="E847" s="9">
        <v>14</v>
      </c>
      <c r="F847" s="9">
        <v>650</v>
      </c>
      <c r="G847" s="9">
        <f>DATOS!$E847*DATOS!$F847</f>
        <v>9100</v>
      </c>
    </row>
    <row r="848" spans="1:7" x14ac:dyDescent="0.3">
      <c r="A848" s="10">
        <v>40830</v>
      </c>
      <c r="B848" s="9" t="s">
        <v>13</v>
      </c>
      <c r="C848" s="9" t="s">
        <v>25</v>
      </c>
      <c r="D848" s="9" t="s">
        <v>33</v>
      </c>
      <c r="E848" s="9">
        <v>88</v>
      </c>
      <c r="F848" s="9">
        <v>650</v>
      </c>
      <c r="G848" s="9">
        <f>DATOS!$E848*DATOS!$F848</f>
        <v>57200</v>
      </c>
    </row>
    <row r="849" spans="1:7" x14ac:dyDescent="0.3">
      <c r="A849" s="10">
        <v>41485</v>
      </c>
      <c r="B849" s="9" t="s">
        <v>13</v>
      </c>
      <c r="C849" s="9" t="s">
        <v>24</v>
      </c>
      <c r="D849" s="9" t="s">
        <v>32</v>
      </c>
      <c r="E849" s="9">
        <v>51</v>
      </c>
      <c r="F849" s="9">
        <v>950</v>
      </c>
      <c r="G849" s="9">
        <f>DATOS!$E849*DATOS!$F849</f>
        <v>48450</v>
      </c>
    </row>
    <row r="850" spans="1:7" x14ac:dyDescent="0.3">
      <c r="A850" s="10">
        <v>40330</v>
      </c>
      <c r="B850" s="9" t="s">
        <v>13</v>
      </c>
      <c r="C850" s="9" t="s">
        <v>25</v>
      </c>
      <c r="D850" s="9" t="s">
        <v>37</v>
      </c>
      <c r="E850" s="9">
        <v>166</v>
      </c>
      <c r="F850" s="9">
        <v>1200</v>
      </c>
      <c r="G850" s="9">
        <f>DATOS!$E850*DATOS!$F850</f>
        <v>199200</v>
      </c>
    </row>
    <row r="851" spans="1:7" x14ac:dyDescent="0.3">
      <c r="A851" s="10">
        <v>40314</v>
      </c>
      <c r="B851" s="9" t="s">
        <v>13</v>
      </c>
      <c r="C851" s="9" t="s">
        <v>29</v>
      </c>
      <c r="D851" s="9" t="s">
        <v>32</v>
      </c>
      <c r="E851" s="9">
        <v>26</v>
      </c>
      <c r="F851" s="9">
        <v>820</v>
      </c>
      <c r="G851" s="9">
        <f>DATOS!$E851*DATOS!$F851</f>
        <v>21320</v>
      </c>
    </row>
    <row r="852" spans="1:7" x14ac:dyDescent="0.3">
      <c r="A852" s="10">
        <v>41499</v>
      </c>
      <c r="B852" s="9" t="s">
        <v>13</v>
      </c>
      <c r="C852" s="9" t="s">
        <v>28</v>
      </c>
      <c r="D852" s="9" t="s">
        <v>37</v>
      </c>
      <c r="E852" s="9">
        <v>14</v>
      </c>
      <c r="F852" s="9">
        <v>1200</v>
      </c>
      <c r="G852" s="9">
        <f>DATOS!$E852*DATOS!$F852</f>
        <v>16800</v>
      </c>
    </row>
    <row r="853" spans="1:7" x14ac:dyDescent="0.3">
      <c r="A853" s="10">
        <v>41243</v>
      </c>
      <c r="B853" s="9" t="s">
        <v>13</v>
      </c>
      <c r="C853" s="9" t="s">
        <v>25</v>
      </c>
      <c r="D853" s="9" t="s">
        <v>33</v>
      </c>
      <c r="E853" s="9">
        <v>116</v>
      </c>
      <c r="F853" s="9">
        <v>650</v>
      </c>
      <c r="G853" s="9">
        <f>DATOS!$E853*DATOS!$F853</f>
        <v>75400</v>
      </c>
    </row>
    <row r="854" spans="1:7" x14ac:dyDescent="0.3">
      <c r="A854" s="10">
        <v>40766</v>
      </c>
      <c r="B854" s="9" t="s">
        <v>13</v>
      </c>
      <c r="C854" s="9" t="s">
        <v>24</v>
      </c>
      <c r="D854" s="9" t="s">
        <v>33</v>
      </c>
      <c r="E854" s="9">
        <v>7</v>
      </c>
      <c r="F854" s="9">
        <v>650</v>
      </c>
      <c r="G854" s="9">
        <f>DATOS!$E854*DATOS!$F854</f>
        <v>4550</v>
      </c>
    </row>
    <row r="855" spans="1:7" x14ac:dyDescent="0.3">
      <c r="A855" s="10">
        <v>40218</v>
      </c>
      <c r="B855" s="9" t="s">
        <v>13</v>
      </c>
      <c r="C855" s="9" t="s">
        <v>25</v>
      </c>
      <c r="D855" s="9" t="s">
        <v>32</v>
      </c>
      <c r="E855" s="9">
        <v>149</v>
      </c>
      <c r="F855" s="9">
        <v>950</v>
      </c>
      <c r="G855" s="9">
        <f>DATOS!$E855*DATOS!$F855</f>
        <v>141550</v>
      </c>
    </row>
    <row r="856" spans="1:7" x14ac:dyDescent="0.3">
      <c r="A856" s="10">
        <v>40534</v>
      </c>
      <c r="B856" s="9" t="s">
        <v>13</v>
      </c>
      <c r="C856" s="9" t="s">
        <v>26</v>
      </c>
      <c r="D856" s="9" t="s">
        <v>37</v>
      </c>
      <c r="E856" s="9">
        <v>60</v>
      </c>
      <c r="F856" s="9">
        <v>1200</v>
      </c>
      <c r="G856" s="9">
        <f>DATOS!$E856*DATOS!$F856</f>
        <v>72000</v>
      </c>
    </row>
    <row r="857" spans="1:7" x14ac:dyDescent="0.3">
      <c r="A857" s="10">
        <v>41863</v>
      </c>
      <c r="B857" s="9" t="s">
        <v>13</v>
      </c>
      <c r="C857" s="9" t="s">
        <v>24</v>
      </c>
      <c r="D857" s="9" t="s">
        <v>32</v>
      </c>
      <c r="E857" s="9">
        <v>46</v>
      </c>
      <c r="F857" s="9">
        <v>950</v>
      </c>
      <c r="G857" s="9">
        <f>DATOS!$E857*DATOS!$F857</f>
        <v>43700</v>
      </c>
    </row>
    <row r="858" spans="1:7" x14ac:dyDescent="0.3">
      <c r="A858" s="10">
        <v>40884</v>
      </c>
      <c r="B858" s="9" t="s">
        <v>13</v>
      </c>
      <c r="C858" s="9" t="s">
        <v>25</v>
      </c>
      <c r="D858" s="9" t="s">
        <v>32</v>
      </c>
      <c r="E858" s="9">
        <v>18</v>
      </c>
      <c r="F858" s="9">
        <v>820</v>
      </c>
      <c r="G858" s="9">
        <f>DATOS!$E858*DATOS!$F858</f>
        <v>14760</v>
      </c>
    </row>
    <row r="859" spans="1:7" x14ac:dyDescent="0.3">
      <c r="A859" s="10">
        <v>41971</v>
      </c>
      <c r="B859" s="9" t="s">
        <v>13</v>
      </c>
      <c r="C859" s="9" t="s">
        <v>28</v>
      </c>
      <c r="D859" s="9" t="s">
        <v>33</v>
      </c>
      <c r="E859" s="9">
        <v>5</v>
      </c>
      <c r="F859" s="9">
        <v>650</v>
      </c>
      <c r="G859" s="9">
        <f>DATOS!$E859*DATOS!$F859</f>
        <v>3250</v>
      </c>
    </row>
    <row r="860" spans="1:7" x14ac:dyDescent="0.3">
      <c r="A860" s="10">
        <v>41009</v>
      </c>
      <c r="B860" s="9" t="s">
        <v>13</v>
      </c>
      <c r="C860" s="9" t="s">
        <v>28</v>
      </c>
      <c r="D860" s="9" t="s">
        <v>32</v>
      </c>
      <c r="E860" s="9">
        <v>6</v>
      </c>
      <c r="F860" s="9">
        <v>820</v>
      </c>
      <c r="G860" s="9">
        <f>DATOS!$E860*DATOS!$F860</f>
        <v>4920</v>
      </c>
    </row>
    <row r="861" spans="1:7" x14ac:dyDescent="0.3">
      <c r="A861" s="10">
        <v>41599</v>
      </c>
      <c r="B861" s="9" t="s">
        <v>13</v>
      </c>
      <c r="C861" s="9" t="s">
        <v>24</v>
      </c>
      <c r="D861" s="9" t="s">
        <v>33</v>
      </c>
      <c r="E861" s="9">
        <v>89</v>
      </c>
      <c r="F861" s="9">
        <v>650</v>
      </c>
      <c r="G861" s="9">
        <f>DATOS!$E861*DATOS!$F861</f>
        <v>57850</v>
      </c>
    </row>
    <row r="862" spans="1:7" x14ac:dyDescent="0.3">
      <c r="A862" s="10">
        <v>41280</v>
      </c>
      <c r="B862" s="9" t="s">
        <v>13</v>
      </c>
      <c r="C862" s="9" t="s">
        <v>29</v>
      </c>
      <c r="D862" s="9" t="s">
        <v>37</v>
      </c>
      <c r="E862" s="9">
        <v>131</v>
      </c>
      <c r="F862" s="9">
        <v>1200</v>
      </c>
      <c r="G862" s="9">
        <f>DATOS!$E862*DATOS!$F862</f>
        <v>157200</v>
      </c>
    </row>
    <row r="863" spans="1:7" x14ac:dyDescent="0.3">
      <c r="A863" s="10">
        <v>41714</v>
      </c>
      <c r="B863" s="9" t="s">
        <v>13</v>
      </c>
      <c r="C863" s="9" t="s">
        <v>25</v>
      </c>
      <c r="D863" s="9" t="s">
        <v>31</v>
      </c>
      <c r="E863" s="9">
        <v>18</v>
      </c>
      <c r="F863" s="9">
        <v>800</v>
      </c>
      <c r="G863" s="9">
        <f>DATOS!$E863*DATOS!$F863</f>
        <v>14400</v>
      </c>
    </row>
    <row r="864" spans="1:7" x14ac:dyDescent="0.3">
      <c r="A864" s="10">
        <v>41559</v>
      </c>
      <c r="B864" s="9" t="s">
        <v>13</v>
      </c>
      <c r="C864" s="9" t="s">
        <v>29</v>
      </c>
      <c r="D864" s="9" t="s">
        <v>30</v>
      </c>
      <c r="E864" s="9">
        <v>17</v>
      </c>
      <c r="F864" s="9">
        <v>450</v>
      </c>
      <c r="G864" s="9">
        <f>DATOS!$E864*DATOS!$F864</f>
        <v>7650</v>
      </c>
    </row>
    <row r="865" spans="1:7" x14ac:dyDescent="0.3">
      <c r="A865" s="10">
        <v>40638</v>
      </c>
      <c r="B865" s="9" t="s">
        <v>13</v>
      </c>
      <c r="C865" s="9" t="s">
        <v>26</v>
      </c>
      <c r="D865" s="9" t="s">
        <v>30</v>
      </c>
      <c r="E865" s="9">
        <v>55</v>
      </c>
      <c r="F865" s="9">
        <v>450</v>
      </c>
      <c r="G865" s="9">
        <f>DATOS!$E865*DATOS!$F865</f>
        <v>24750</v>
      </c>
    </row>
    <row r="866" spans="1:7" x14ac:dyDescent="0.3">
      <c r="A866" s="10">
        <v>41625</v>
      </c>
      <c r="B866" s="9" t="s">
        <v>13</v>
      </c>
      <c r="C866" s="9" t="s">
        <v>25</v>
      </c>
      <c r="D866" s="9" t="s">
        <v>33</v>
      </c>
      <c r="E866" s="9">
        <v>8</v>
      </c>
      <c r="F866" s="9">
        <v>650</v>
      </c>
      <c r="G866" s="9">
        <f>DATOS!$E866*DATOS!$F866</f>
        <v>5200</v>
      </c>
    </row>
    <row r="867" spans="1:7" x14ac:dyDescent="0.3">
      <c r="A867" s="10">
        <v>40915</v>
      </c>
      <c r="B867" s="9" t="s">
        <v>13</v>
      </c>
      <c r="C867" s="9" t="s">
        <v>28</v>
      </c>
      <c r="D867" s="9" t="s">
        <v>37</v>
      </c>
      <c r="E867" s="9">
        <v>3</v>
      </c>
      <c r="F867" s="9">
        <v>1200</v>
      </c>
      <c r="G867" s="9">
        <f>DATOS!$E867*DATOS!$F867</f>
        <v>3600</v>
      </c>
    </row>
    <row r="868" spans="1:7" x14ac:dyDescent="0.3">
      <c r="A868" s="10">
        <v>40836</v>
      </c>
      <c r="B868" s="9" t="s">
        <v>13</v>
      </c>
      <c r="C868" s="9" t="s">
        <v>28</v>
      </c>
      <c r="D868" s="9" t="s">
        <v>32</v>
      </c>
      <c r="E868" s="9">
        <v>16</v>
      </c>
      <c r="F868" s="9">
        <v>820</v>
      </c>
      <c r="G868" s="9">
        <f>DATOS!$E868*DATOS!$F868</f>
        <v>13120</v>
      </c>
    </row>
    <row r="869" spans="1:7" x14ac:dyDescent="0.3">
      <c r="A869" s="10">
        <v>40982</v>
      </c>
      <c r="B869" s="9" t="s">
        <v>13</v>
      </c>
      <c r="C869" s="9" t="s">
        <v>29</v>
      </c>
      <c r="D869" s="9" t="s">
        <v>37</v>
      </c>
      <c r="E869" s="9">
        <v>172</v>
      </c>
      <c r="F869" s="9">
        <v>1200</v>
      </c>
      <c r="G869" s="9">
        <f>DATOS!$E869*DATOS!$F869</f>
        <v>206400</v>
      </c>
    </row>
    <row r="870" spans="1:7" x14ac:dyDescent="0.3">
      <c r="A870" s="10">
        <v>40783</v>
      </c>
      <c r="B870" s="9" t="s">
        <v>13</v>
      </c>
      <c r="C870" s="9" t="s">
        <v>24</v>
      </c>
      <c r="D870" s="9" t="s">
        <v>31</v>
      </c>
      <c r="E870" s="9">
        <v>118</v>
      </c>
      <c r="F870" s="9">
        <v>800</v>
      </c>
      <c r="G870" s="9">
        <f>DATOS!$E870*DATOS!$F870</f>
        <v>94400</v>
      </c>
    </row>
    <row r="871" spans="1:7" x14ac:dyDescent="0.3">
      <c r="A871" s="10">
        <v>41156</v>
      </c>
      <c r="B871" s="9" t="s">
        <v>13</v>
      </c>
      <c r="C871" s="9" t="s">
        <v>24</v>
      </c>
      <c r="D871" s="9" t="s">
        <v>32</v>
      </c>
      <c r="E871" s="9">
        <v>38</v>
      </c>
      <c r="F871" s="9">
        <v>820</v>
      </c>
      <c r="G871" s="9">
        <f>DATOS!$E871*DATOS!$F871</f>
        <v>31160</v>
      </c>
    </row>
    <row r="872" spans="1:7" x14ac:dyDescent="0.3">
      <c r="A872" s="10">
        <v>41171</v>
      </c>
      <c r="B872" s="9" t="s">
        <v>13</v>
      </c>
      <c r="C872" s="9" t="s">
        <v>29</v>
      </c>
      <c r="D872" s="9" t="s">
        <v>33</v>
      </c>
      <c r="E872" s="9">
        <v>19</v>
      </c>
      <c r="F872" s="9">
        <v>650</v>
      </c>
      <c r="G872" s="9">
        <f>DATOS!$E872*DATOS!$F872</f>
        <v>12350</v>
      </c>
    </row>
    <row r="873" spans="1:7" x14ac:dyDescent="0.3">
      <c r="A873" s="10">
        <v>40482</v>
      </c>
      <c r="B873" s="9" t="s">
        <v>13</v>
      </c>
      <c r="C873" s="9" t="s">
        <v>26</v>
      </c>
      <c r="D873" s="9" t="s">
        <v>33</v>
      </c>
      <c r="E873" s="9">
        <v>4</v>
      </c>
      <c r="F873" s="9">
        <v>650</v>
      </c>
      <c r="G873" s="9">
        <f>DATOS!$E873*DATOS!$F873</f>
        <v>2600</v>
      </c>
    </row>
    <row r="874" spans="1:7" x14ac:dyDescent="0.3">
      <c r="A874" s="10">
        <v>40523</v>
      </c>
      <c r="B874" s="9" t="s">
        <v>13</v>
      </c>
      <c r="C874" s="9" t="s">
        <v>27</v>
      </c>
      <c r="D874" s="9" t="s">
        <v>37</v>
      </c>
      <c r="E874" s="9">
        <v>3</v>
      </c>
      <c r="F874" s="9">
        <v>1200</v>
      </c>
      <c r="G874" s="9">
        <f>DATOS!$E874*DATOS!$F874</f>
        <v>3600</v>
      </c>
    </row>
    <row r="875" spans="1:7" x14ac:dyDescent="0.3">
      <c r="A875" s="10">
        <v>41642</v>
      </c>
      <c r="B875" s="9" t="s">
        <v>13</v>
      </c>
      <c r="C875" s="9" t="s">
        <v>26</v>
      </c>
      <c r="D875" s="9" t="s">
        <v>33</v>
      </c>
      <c r="E875" s="9">
        <v>18</v>
      </c>
      <c r="F875" s="9">
        <v>650</v>
      </c>
      <c r="G875" s="9">
        <f>DATOS!$E875*DATOS!$F875</f>
        <v>11700</v>
      </c>
    </row>
    <row r="876" spans="1:7" x14ac:dyDescent="0.3">
      <c r="A876" s="10">
        <v>41206</v>
      </c>
      <c r="B876" s="9" t="s">
        <v>13</v>
      </c>
      <c r="C876" s="9" t="s">
        <v>27</v>
      </c>
      <c r="D876" s="9" t="s">
        <v>32</v>
      </c>
      <c r="E876" s="9">
        <v>2</v>
      </c>
      <c r="F876" s="9">
        <v>820</v>
      </c>
      <c r="G876" s="9">
        <f>DATOS!$E876*DATOS!$F876</f>
        <v>1640</v>
      </c>
    </row>
    <row r="877" spans="1:7" x14ac:dyDescent="0.3">
      <c r="A877" s="10">
        <v>41332</v>
      </c>
      <c r="B877" s="9" t="s">
        <v>13</v>
      </c>
      <c r="C877" s="9" t="s">
        <v>25</v>
      </c>
      <c r="D877" s="9" t="s">
        <v>32</v>
      </c>
      <c r="E877" s="9">
        <v>27</v>
      </c>
      <c r="F877" s="9">
        <v>950</v>
      </c>
      <c r="G877" s="9">
        <f>DATOS!$E877*DATOS!$F877</f>
        <v>25650</v>
      </c>
    </row>
    <row r="878" spans="1:7" x14ac:dyDescent="0.3">
      <c r="A878" s="10">
        <v>41651</v>
      </c>
      <c r="B878" s="9" t="s">
        <v>13</v>
      </c>
      <c r="C878" s="9" t="s">
        <v>25</v>
      </c>
      <c r="D878" s="9" t="s">
        <v>33</v>
      </c>
      <c r="E878" s="9">
        <v>134</v>
      </c>
      <c r="F878" s="9">
        <v>650</v>
      </c>
      <c r="G878" s="9">
        <f>DATOS!$E878*DATOS!$F878</f>
        <v>87100</v>
      </c>
    </row>
    <row r="879" spans="1:7" x14ac:dyDescent="0.3">
      <c r="A879" s="10">
        <v>41559</v>
      </c>
      <c r="B879" s="9" t="s">
        <v>13</v>
      </c>
      <c r="C879" s="9" t="s">
        <v>29</v>
      </c>
      <c r="D879" s="9" t="s">
        <v>30</v>
      </c>
      <c r="E879" s="9">
        <v>59</v>
      </c>
      <c r="F879" s="9">
        <v>450</v>
      </c>
      <c r="G879" s="9">
        <f>DATOS!$E879*DATOS!$F879</f>
        <v>26550</v>
      </c>
    </row>
    <row r="880" spans="1:7" x14ac:dyDescent="0.3">
      <c r="A880" s="10">
        <v>41396</v>
      </c>
      <c r="B880" s="9" t="s">
        <v>13</v>
      </c>
      <c r="C880" s="9" t="s">
        <v>27</v>
      </c>
      <c r="D880" s="9" t="s">
        <v>37</v>
      </c>
      <c r="E880" s="9">
        <v>11</v>
      </c>
      <c r="F880" s="9">
        <v>1200</v>
      </c>
      <c r="G880" s="9">
        <f>DATOS!$E880*DATOS!$F880</f>
        <v>13200</v>
      </c>
    </row>
    <row r="881" spans="1:7" x14ac:dyDescent="0.3">
      <c r="A881" s="10">
        <v>40504</v>
      </c>
      <c r="B881" s="9" t="s">
        <v>13</v>
      </c>
      <c r="C881" s="9" t="s">
        <v>25</v>
      </c>
      <c r="D881" s="9" t="s">
        <v>32</v>
      </c>
      <c r="E881" s="9">
        <v>114</v>
      </c>
      <c r="F881" s="9">
        <v>820</v>
      </c>
      <c r="G881" s="9">
        <f>DATOS!$E881*DATOS!$F881</f>
        <v>93480</v>
      </c>
    </row>
    <row r="882" spans="1:7" x14ac:dyDescent="0.3">
      <c r="A882" s="10">
        <v>41615</v>
      </c>
      <c r="B882" s="9" t="s">
        <v>13</v>
      </c>
      <c r="C882" s="9" t="s">
        <v>24</v>
      </c>
      <c r="D882" s="9" t="s">
        <v>31</v>
      </c>
      <c r="E882" s="9">
        <v>30</v>
      </c>
      <c r="F882" s="9">
        <v>800</v>
      </c>
      <c r="G882" s="9">
        <f>DATOS!$E882*DATOS!$F882</f>
        <v>24000</v>
      </c>
    </row>
    <row r="883" spans="1:7" x14ac:dyDescent="0.3">
      <c r="A883" s="10">
        <v>41392</v>
      </c>
      <c r="B883" s="9" t="s">
        <v>13</v>
      </c>
      <c r="C883" s="9" t="s">
        <v>24</v>
      </c>
      <c r="D883" s="9" t="s">
        <v>37</v>
      </c>
      <c r="E883" s="9">
        <v>9</v>
      </c>
      <c r="F883" s="9">
        <v>1200</v>
      </c>
      <c r="G883" s="9">
        <f>DATOS!$E883*DATOS!$F883</f>
        <v>10800</v>
      </c>
    </row>
    <row r="884" spans="1:7" x14ac:dyDescent="0.3">
      <c r="A884" s="10">
        <v>41541</v>
      </c>
      <c r="B884" s="9" t="s">
        <v>13</v>
      </c>
      <c r="C884" s="9" t="s">
        <v>27</v>
      </c>
      <c r="D884" s="9" t="s">
        <v>31</v>
      </c>
      <c r="E884" s="9">
        <v>7</v>
      </c>
      <c r="F884" s="9">
        <v>800</v>
      </c>
      <c r="G884" s="9">
        <f>DATOS!$E884*DATOS!$F884</f>
        <v>5600</v>
      </c>
    </row>
    <row r="885" spans="1:7" x14ac:dyDescent="0.3">
      <c r="A885" s="10">
        <v>40665</v>
      </c>
      <c r="B885" s="9" t="s">
        <v>13</v>
      </c>
      <c r="C885" s="9" t="s">
        <v>29</v>
      </c>
      <c r="D885" s="9" t="s">
        <v>33</v>
      </c>
      <c r="E885" s="9">
        <v>175</v>
      </c>
      <c r="F885" s="9">
        <v>650</v>
      </c>
      <c r="G885" s="9">
        <f>DATOS!$E885*DATOS!$F885</f>
        <v>113750</v>
      </c>
    </row>
    <row r="886" spans="1:7" x14ac:dyDescent="0.3">
      <c r="A886" s="10">
        <v>41915</v>
      </c>
      <c r="B886" s="9" t="s">
        <v>13</v>
      </c>
      <c r="C886" s="9" t="s">
        <v>26</v>
      </c>
      <c r="D886" s="9" t="s">
        <v>31</v>
      </c>
      <c r="E886" s="9">
        <v>44</v>
      </c>
      <c r="F886" s="9">
        <v>800</v>
      </c>
      <c r="G886" s="9">
        <f>DATOS!$E886*DATOS!$F886</f>
        <v>35200</v>
      </c>
    </row>
    <row r="887" spans="1:7" x14ac:dyDescent="0.3">
      <c r="A887" s="10">
        <v>40684</v>
      </c>
      <c r="B887" s="9" t="s">
        <v>13</v>
      </c>
      <c r="C887" s="9" t="s">
        <v>28</v>
      </c>
      <c r="D887" s="9" t="s">
        <v>37</v>
      </c>
      <c r="E887" s="9">
        <v>1</v>
      </c>
      <c r="F887" s="9">
        <v>1200</v>
      </c>
      <c r="G887" s="9">
        <f>DATOS!$E887*DATOS!$F887</f>
        <v>1200</v>
      </c>
    </row>
    <row r="888" spans="1:7" x14ac:dyDescent="0.3">
      <c r="A888" s="10">
        <v>41095</v>
      </c>
      <c r="B888" s="9" t="s">
        <v>13</v>
      </c>
      <c r="C888" s="9" t="s">
        <v>29</v>
      </c>
      <c r="D888" s="9" t="s">
        <v>31</v>
      </c>
      <c r="E888" s="9">
        <v>86</v>
      </c>
      <c r="F888" s="9">
        <v>800</v>
      </c>
      <c r="G888" s="9">
        <f>DATOS!$E888*DATOS!$F888</f>
        <v>68800</v>
      </c>
    </row>
    <row r="889" spans="1:7" x14ac:dyDescent="0.3">
      <c r="A889" s="10">
        <v>40960</v>
      </c>
      <c r="B889" s="9" t="s">
        <v>13</v>
      </c>
      <c r="C889" s="9" t="s">
        <v>29</v>
      </c>
      <c r="D889" s="9" t="s">
        <v>30</v>
      </c>
      <c r="E889" s="9">
        <v>34</v>
      </c>
      <c r="F889" s="9">
        <v>450</v>
      </c>
      <c r="G889" s="9">
        <f>DATOS!$E889*DATOS!$F889</f>
        <v>15300</v>
      </c>
    </row>
    <row r="890" spans="1:7" x14ac:dyDescent="0.3">
      <c r="A890" s="10">
        <v>40820</v>
      </c>
      <c r="B890" s="9" t="s">
        <v>13</v>
      </c>
      <c r="C890" s="9" t="s">
        <v>29</v>
      </c>
      <c r="D890" s="9" t="s">
        <v>31</v>
      </c>
      <c r="E890" s="9">
        <v>44</v>
      </c>
      <c r="F890" s="9">
        <v>800</v>
      </c>
      <c r="G890" s="9">
        <f>DATOS!$E890*DATOS!$F890</f>
        <v>35200</v>
      </c>
    </row>
    <row r="891" spans="1:7" x14ac:dyDescent="0.3">
      <c r="A891" s="10">
        <v>40757</v>
      </c>
      <c r="B891" s="9" t="s">
        <v>13</v>
      </c>
      <c r="C891" s="9" t="s">
        <v>29</v>
      </c>
      <c r="D891" s="9" t="s">
        <v>30</v>
      </c>
      <c r="E891" s="9">
        <v>52</v>
      </c>
      <c r="F891" s="9">
        <v>450</v>
      </c>
      <c r="G891" s="9">
        <f>DATOS!$E891*DATOS!$F891</f>
        <v>23400</v>
      </c>
    </row>
    <row r="892" spans="1:7" x14ac:dyDescent="0.3">
      <c r="A892" s="10">
        <v>41814</v>
      </c>
      <c r="B892" s="9" t="s">
        <v>13</v>
      </c>
      <c r="C892" s="9" t="s">
        <v>28</v>
      </c>
      <c r="D892" s="9" t="s">
        <v>37</v>
      </c>
      <c r="E892" s="9">
        <v>9</v>
      </c>
      <c r="F892" s="9">
        <v>1200</v>
      </c>
      <c r="G892" s="9">
        <f>DATOS!$E892*DATOS!$F892</f>
        <v>10800</v>
      </c>
    </row>
    <row r="893" spans="1:7" x14ac:dyDescent="0.3">
      <c r="A893" s="10">
        <v>41618</v>
      </c>
      <c r="B893" s="9" t="s">
        <v>13</v>
      </c>
      <c r="C893" s="9" t="s">
        <v>27</v>
      </c>
      <c r="D893" s="9" t="s">
        <v>33</v>
      </c>
      <c r="E893" s="9">
        <v>54</v>
      </c>
      <c r="F893" s="9">
        <v>650</v>
      </c>
      <c r="G893" s="9">
        <f>DATOS!$E893*DATOS!$F893</f>
        <v>35100</v>
      </c>
    </row>
    <row r="894" spans="1:7" x14ac:dyDescent="0.3">
      <c r="A894" s="10">
        <v>41923</v>
      </c>
      <c r="B894" s="9" t="s">
        <v>13</v>
      </c>
      <c r="C894" s="9" t="s">
        <v>29</v>
      </c>
      <c r="D894" s="9" t="s">
        <v>33</v>
      </c>
      <c r="E894" s="9">
        <v>57</v>
      </c>
      <c r="F894" s="9">
        <v>650</v>
      </c>
      <c r="G894" s="9">
        <f>DATOS!$E894*DATOS!$F894</f>
        <v>37050</v>
      </c>
    </row>
    <row r="895" spans="1:7" x14ac:dyDescent="0.3">
      <c r="A895" s="10">
        <v>40466</v>
      </c>
      <c r="B895" s="9" t="s">
        <v>13</v>
      </c>
      <c r="C895" s="9" t="s">
        <v>29</v>
      </c>
      <c r="D895" s="9" t="s">
        <v>32</v>
      </c>
      <c r="E895" s="9">
        <v>78</v>
      </c>
      <c r="F895" s="9">
        <v>820</v>
      </c>
      <c r="G895" s="9">
        <f>DATOS!$E895*DATOS!$F895</f>
        <v>63960</v>
      </c>
    </row>
    <row r="896" spans="1:7" x14ac:dyDescent="0.3">
      <c r="A896" s="10">
        <v>40428</v>
      </c>
      <c r="B896" s="9" t="s">
        <v>13</v>
      </c>
      <c r="C896" s="9" t="s">
        <v>28</v>
      </c>
      <c r="D896" s="9" t="s">
        <v>31</v>
      </c>
      <c r="E896" s="9">
        <v>6</v>
      </c>
      <c r="F896" s="9">
        <v>800</v>
      </c>
      <c r="G896" s="9">
        <f>DATOS!$E896*DATOS!$F896</f>
        <v>4800</v>
      </c>
    </row>
    <row r="897" spans="1:7" x14ac:dyDescent="0.3">
      <c r="A897" s="10">
        <v>40744</v>
      </c>
      <c r="B897" s="9" t="s">
        <v>13</v>
      </c>
      <c r="C897" s="9" t="s">
        <v>26</v>
      </c>
      <c r="D897" s="9" t="s">
        <v>32</v>
      </c>
      <c r="E897" s="9">
        <v>51</v>
      </c>
      <c r="F897" s="9">
        <v>950</v>
      </c>
      <c r="G897" s="9">
        <f>DATOS!$E897*DATOS!$F897</f>
        <v>48450</v>
      </c>
    </row>
    <row r="898" spans="1:7" x14ac:dyDescent="0.3">
      <c r="A898" s="10">
        <v>41036</v>
      </c>
      <c r="B898" s="9" t="s">
        <v>13</v>
      </c>
      <c r="C898" s="9" t="s">
        <v>29</v>
      </c>
      <c r="D898" s="9" t="s">
        <v>32</v>
      </c>
      <c r="E898" s="9">
        <v>17</v>
      </c>
      <c r="F898" s="9">
        <v>820</v>
      </c>
      <c r="G898" s="9">
        <f>DATOS!$E898*DATOS!$F898</f>
        <v>13940</v>
      </c>
    </row>
    <row r="899" spans="1:7" x14ac:dyDescent="0.3">
      <c r="A899" s="10">
        <v>40417</v>
      </c>
      <c r="B899" s="9" t="s">
        <v>13</v>
      </c>
      <c r="C899" s="9" t="s">
        <v>24</v>
      </c>
      <c r="D899" s="9" t="s">
        <v>32</v>
      </c>
      <c r="E899" s="9">
        <v>57</v>
      </c>
      <c r="F899" s="9">
        <v>820</v>
      </c>
      <c r="G899" s="9">
        <f>DATOS!$E899*DATOS!$F899</f>
        <v>46740</v>
      </c>
    </row>
    <row r="900" spans="1:7" x14ac:dyDescent="0.3">
      <c r="A900" s="10">
        <v>40794</v>
      </c>
      <c r="B900" s="9" t="s">
        <v>13</v>
      </c>
      <c r="C900" s="9" t="s">
        <v>27</v>
      </c>
      <c r="D900" s="9" t="s">
        <v>31</v>
      </c>
      <c r="E900" s="9">
        <v>5</v>
      </c>
      <c r="F900" s="9">
        <v>800</v>
      </c>
      <c r="G900" s="9">
        <f>DATOS!$E900*DATOS!$F900</f>
        <v>4000</v>
      </c>
    </row>
    <row r="901" spans="1:7" x14ac:dyDescent="0.3">
      <c r="A901" s="10">
        <v>41952</v>
      </c>
      <c r="B901" s="9" t="s">
        <v>13</v>
      </c>
      <c r="C901" s="9" t="s">
        <v>26</v>
      </c>
      <c r="D901" s="9" t="s">
        <v>32</v>
      </c>
      <c r="E901" s="9">
        <v>83</v>
      </c>
      <c r="F901" s="9">
        <v>820</v>
      </c>
      <c r="G901" s="9">
        <f>DATOS!$E901*DATOS!$F901</f>
        <v>68060</v>
      </c>
    </row>
    <row r="902" spans="1:7" x14ac:dyDescent="0.3">
      <c r="A902" s="10">
        <v>41969</v>
      </c>
      <c r="B902" s="9" t="s">
        <v>13</v>
      </c>
      <c r="C902" s="9" t="s">
        <v>29</v>
      </c>
      <c r="D902" s="9" t="s">
        <v>33</v>
      </c>
      <c r="E902" s="9">
        <v>286</v>
      </c>
      <c r="F902" s="9">
        <v>650</v>
      </c>
      <c r="G902" s="9">
        <f>DATOS!$E902*DATOS!$F902</f>
        <v>185900</v>
      </c>
    </row>
    <row r="903" spans="1:7" x14ac:dyDescent="0.3">
      <c r="A903" s="10">
        <v>41020</v>
      </c>
      <c r="B903" s="9" t="s">
        <v>13</v>
      </c>
      <c r="C903" s="9" t="s">
        <v>24</v>
      </c>
      <c r="D903" s="9" t="s">
        <v>31</v>
      </c>
      <c r="E903" s="9">
        <v>51</v>
      </c>
      <c r="F903" s="9">
        <v>800</v>
      </c>
      <c r="G903" s="9">
        <f>DATOS!$E903*DATOS!$F903</f>
        <v>40800</v>
      </c>
    </row>
    <row r="904" spans="1:7" x14ac:dyDescent="0.3">
      <c r="A904" s="10">
        <v>40866</v>
      </c>
      <c r="B904" s="9" t="s">
        <v>13</v>
      </c>
      <c r="C904" s="9" t="s">
        <v>26</v>
      </c>
      <c r="D904" s="9" t="s">
        <v>33</v>
      </c>
      <c r="E904" s="9">
        <v>27</v>
      </c>
      <c r="F904" s="9">
        <v>650</v>
      </c>
      <c r="G904" s="9">
        <f>DATOS!$E904*DATOS!$F904</f>
        <v>17550</v>
      </c>
    </row>
    <row r="905" spans="1:7" x14ac:dyDescent="0.3">
      <c r="A905" s="10">
        <v>40373</v>
      </c>
      <c r="B905" s="9" t="s">
        <v>13</v>
      </c>
      <c r="C905" s="9" t="s">
        <v>29</v>
      </c>
      <c r="D905" s="9" t="s">
        <v>32</v>
      </c>
      <c r="E905" s="9">
        <v>29</v>
      </c>
      <c r="F905" s="9">
        <v>820</v>
      </c>
      <c r="G905" s="9">
        <f>DATOS!$E905*DATOS!$F905</f>
        <v>23780</v>
      </c>
    </row>
    <row r="906" spans="1:7" x14ac:dyDescent="0.3">
      <c r="A906" s="10">
        <v>41312</v>
      </c>
      <c r="B906" s="9" t="s">
        <v>13</v>
      </c>
      <c r="C906" s="9" t="s">
        <v>26</v>
      </c>
      <c r="D906" s="9" t="s">
        <v>33</v>
      </c>
      <c r="E906" s="9">
        <v>76</v>
      </c>
      <c r="F906" s="9">
        <v>650</v>
      </c>
      <c r="G906" s="9">
        <f>DATOS!$E906*DATOS!$F906</f>
        <v>49400</v>
      </c>
    </row>
    <row r="907" spans="1:7" x14ac:dyDescent="0.3">
      <c r="A907" s="10">
        <v>41241</v>
      </c>
      <c r="B907" s="9" t="s">
        <v>13</v>
      </c>
      <c r="C907" s="9" t="s">
        <v>28</v>
      </c>
      <c r="D907" s="9" t="s">
        <v>32</v>
      </c>
      <c r="E907" s="9">
        <v>32</v>
      </c>
      <c r="F907" s="9">
        <v>820</v>
      </c>
      <c r="G907" s="9">
        <f>DATOS!$E907*DATOS!$F907</f>
        <v>26240</v>
      </c>
    </row>
    <row r="908" spans="1:7" x14ac:dyDescent="0.3">
      <c r="A908" s="10">
        <v>40213</v>
      </c>
      <c r="B908" s="9" t="s">
        <v>14</v>
      </c>
      <c r="C908" s="9" t="s">
        <v>24</v>
      </c>
      <c r="D908" s="9" t="s">
        <v>32</v>
      </c>
      <c r="E908" s="9">
        <v>142</v>
      </c>
      <c r="F908" s="9">
        <v>820</v>
      </c>
      <c r="G908" s="9">
        <f>DATOS!$E908*DATOS!$F908</f>
        <v>116440</v>
      </c>
    </row>
    <row r="909" spans="1:7" x14ac:dyDescent="0.3">
      <c r="A909" s="10">
        <v>41076</v>
      </c>
      <c r="B909" s="9" t="s">
        <v>14</v>
      </c>
      <c r="C909" s="9" t="s">
        <v>25</v>
      </c>
      <c r="D909" s="9" t="s">
        <v>31</v>
      </c>
      <c r="E909" s="9">
        <v>46</v>
      </c>
      <c r="F909" s="9">
        <v>800</v>
      </c>
      <c r="G909" s="9">
        <f>DATOS!$E909*DATOS!$F909</f>
        <v>36800</v>
      </c>
    </row>
    <row r="910" spans="1:7" x14ac:dyDescent="0.3">
      <c r="A910" s="10">
        <v>40865</v>
      </c>
      <c r="B910" s="9" t="s">
        <v>14</v>
      </c>
      <c r="C910" s="9" t="s">
        <v>27</v>
      </c>
      <c r="D910" s="9" t="s">
        <v>32</v>
      </c>
      <c r="E910" s="9">
        <v>7</v>
      </c>
      <c r="F910" s="9">
        <v>820</v>
      </c>
      <c r="G910" s="9">
        <f>DATOS!$E910*DATOS!$F910</f>
        <v>5740</v>
      </c>
    </row>
    <row r="911" spans="1:7" x14ac:dyDescent="0.3">
      <c r="A911" s="10">
        <v>41906</v>
      </c>
      <c r="B911" s="9" t="s">
        <v>14</v>
      </c>
      <c r="C911" s="9" t="s">
        <v>26</v>
      </c>
      <c r="D911" s="9" t="s">
        <v>32</v>
      </c>
      <c r="E911" s="9">
        <v>27</v>
      </c>
      <c r="F911" s="9">
        <v>820</v>
      </c>
      <c r="G911" s="9">
        <f>DATOS!$E911*DATOS!$F911</f>
        <v>22140</v>
      </c>
    </row>
    <row r="912" spans="1:7" x14ac:dyDescent="0.3">
      <c r="A912" s="10">
        <v>41044</v>
      </c>
      <c r="B912" s="9" t="s">
        <v>14</v>
      </c>
      <c r="C912" s="9" t="s">
        <v>24</v>
      </c>
      <c r="D912" s="9" t="s">
        <v>32</v>
      </c>
      <c r="E912" s="9">
        <v>24</v>
      </c>
      <c r="F912" s="9">
        <v>820</v>
      </c>
      <c r="G912" s="9">
        <f>DATOS!$E912*DATOS!$F912</f>
        <v>19680</v>
      </c>
    </row>
    <row r="913" spans="1:7" x14ac:dyDescent="0.3">
      <c r="A913" s="10">
        <v>40869</v>
      </c>
      <c r="B913" s="9" t="s">
        <v>14</v>
      </c>
      <c r="C913" s="9" t="s">
        <v>25</v>
      </c>
      <c r="D913" s="9" t="s">
        <v>33</v>
      </c>
      <c r="E913" s="9">
        <v>78</v>
      </c>
      <c r="F913" s="9">
        <v>650</v>
      </c>
      <c r="G913" s="9">
        <f>DATOS!$E913*DATOS!$F913</f>
        <v>50700</v>
      </c>
    </row>
    <row r="914" spans="1:7" x14ac:dyDescent="0.3">
      <c r="A914" s="10">
        <v>41907</v>
      </c>
      <c r="B914" s="9" t="s">
        <v>14</v>
      </c>
      <c r="C914" s="9" t="s">
        <v>24</v>
      </c>
      <c r="D914" s="9" t="s">
        <v>31</v>
      </c>
      <c r="E914" s="9">
        <v>23</v>
      </c>
      <c r="F914" s="9">
        <v>800</v>
      </c>
      <c r="G914" s="9">
        <f>DATOS!$E914*DATOS!$F914</f>
        <v>18400</v>
      </c>
    </row>
    <row r="915" spans="1:7" x14ac:dyDescent="0.3">
      <c r="A915" s="10">
        <v>41063</v>
      </c>
      <c r="B915" s="9" t="s">
        <v>14</v>
      </c>
      <c r="C915" s="9" t="s">
        <v>26</v>
      </c>
      <c r="D915" s="9" t="s">
        <v>30</v>
      </c>
      <c r="E915" s="9">
        <v>3</v>
      </c>
      <c r="F915" s="9">
        <v>450</v>
      </c>
      <c r="G915" s="9">
        <f>DATOS!$E915*DATOS!$F915</f>
        <v>1350</v>
      </c>
    </row>
    <row r="916" spans="1:7" x14ac:dyDescent="0.3">
      <c r="A916" s="10">
        <v>40294</v>
      </c>
      <c r="B916" s="9" t="s">
        <v>14</v>
      </c>
      <c r="C916" s="9" t="s">
        <v>24</v>
      </c>
      <c r="D916" s="9" t="s">
        <v>37</v>
      </c>
      <c r="E916" s="9">
        <v>38</v>
      </c>
      <c r="F916" s="9">
        <v>1200</v>
      </c>
      <c r="G916" s="9">
        <f>DATOS!$E916*DATOS!$F916</f>
        <v>45600</v>
      </c>
    </row>
    <row r="917" spans="1:7" x14ac:dyDescent="0.3">
      <c r="A917" s="10">
        <v>40962</v>
      </c>
      <c r="B917" s="9" t="s">
        <v>14</v>
      </c>
      <c r="C917" s="9" t="s">
        <v>28</v>
      </c>
      <c r="D917" s="9" t="s">
        <v>33</v>
      </c>
      <c r="E917" s="9">
        <v>4</v>
      </c>
      <c r="F917" s="9">
        <v>650</v>
      </c>
      <c r="G917" s="9">
        <f>DATOS!$E917*DATOS!$F917</f>
        <v>2600</v>
      </c>
    </row>
    <row r="918" spans="1:7" x14ac:dyDescent="0.3">
      <c r="A918" s="10">
        <v>40469</v>
      </c>
      <c r="B918" s="9" t="s">
        <v>14</v>
      </c>
      <c r="C918" s="9" t="s">
        <v>29</v>
      </c>
      <c r="D918" s="9" t="s">
        <v>31</v>
      </c>
      <c r="E918" s="9">
        <v>267</v>
      </c>
      <c r="F918" s="9">
        <v>800</v>
      </c>
      <c r="G918" s="9">
        <f>DATOS!$E918*DATOS!$F918</f>
        <v>213600</v>
      </c>
    </row>
    <row r="919" spans="1:7" x14ac:dyDescent="0.3">
      <c r="A919" s="10">
        <v>40199</v>
      </c>
      <c r="B919" s="9" t="s">
        <v>14</v>
      </c>
      <c r="C919" s="9" t="s">
        <v>25</v>
      </c>
      <c r="D919" s="9" t="s">
        <v>33</v>
      </c>
      <c r="E919" s="9">
        <v>188</v>
      </c>
      <c r="F919" s="9">
        <v>650</v>
      </c>
      <c r="G919" s="9">
        <f>DATOS!$E919*DATOS!$F919</f>
        <v>122200</v>
      </c>
    </row>
    <row r="920" spans="1:7" x14ac:dyDescent="0.3">
      <c r="A920" s="10">
        <v>41665</v>
      </c>
      <c r="B920" s="9" t="s">
        <v>14</v>
      </c>
      <c r="C920" s="9" t="s">
        <v>29</v>
      </c>
      <c r="D920" s="9" t="s">
        <v>30</v>
      </c>
      <c r="E920" s="9">
        <v>96</v>
      </c>
      <c r="F920" s="9">
        <v>450</v>
      </c>
      <c r="G920" s="9">
        <f>DATOS!$E920*DATOS!$F920</f>
        <v>43200</v>
      </c>
    </row>
    <row r="921" spans="1:7" x14ac:dyDescent="0.3">
      <c r="A921" s="10">
        <v>40895</v>
      </c>
      <c r="B921" s="9" t="s">
        <v>14</v>
      </c>
      <c r="C921" s="9" t="s">
        <v>28</v>
      </c>
      <c r="D921" s="9" t="s">
        <v>32</v>
      </c>
      <c r="E921" s="9">
        <v>1</v>
      </c>
      <c r="F921" s="9">
        <v>820</v>
      </c>
      <c r="G921" s="9">
        <f>DATOS!$E921*DATOS!$F921</f>
        <v>820</v>
      </c>
    </row>
    <row r="922" spans="1:7" x14ac:dyDescent="0.3">
      <c r="A922" s="10">
        <v>40689</v>
      </c>
      <c r="B922" s="9" t="s">
        <v>14</v>
      </c>
      <c r="C922" s="9" t="s">
        <v>27</v>
      </c>
      <c r="D922" s="9" t="s">
        <v>32</v>
      </c>
      <c r="E922" s="9">
        <v>11</v>
      </c>
      <c r="F922" s="9">
        <v>820</v>
      </c>
      <c r="G922" s="9">
        <f>DATOS!$E922*DATOS!$F922</f>
        <v>9020</v>
      </c>
    </row>
    <row r="923" spans="1:7" x14ac:dyDescent="0.3">
      <c r="A923" s="10">
        <v>41667</v>
      </c>
      <c r="B923" s="9" t="s">
        <v>14</v>
      </c>
      <c r="C923" s="9" t="s">
        <v>27</v>
      </c>
      <c r="D923" s="9" t="s">
        <v>32</v>
      </c>
      <c r="E923" s="9">
        <v>14</v>
      </c>
      <c r="F923" s="9">
        <v>820</v>
      </c>
      <c r="G923" s="9">
        <f>DATOS!$E923*DATOS!$F923</f>
        <v>11480</v>
      </c>
    </row>
    <row r="924" spans="1:7" x14ac:dyDescent="0.3">
      <c r="A924" s="10">
        <v>40444</v>
      </c>
      <c r="B924" s="9" t="s">
        <v>14</v>
      </c>
      <c r="C924" s="9" t="s">
        <v>24</v>
      </c>
      <c r="D924" s="9" t="s">
        <v>32</v>
      </c>
      <c r="E924" s="9">
        <v>28</v>
      </c>
      <c r="F924" s="9">
        <v>950</v>
      </c>
      <c r="G924" s="9">
        <f>DATOS!$E924*DATOS!$F924</f>
        <v>26600</v>
      </c>
    </row>
    <row r="925" spans="1:7" x14ac:dyDescent="0.3">
      <c r="A925" s="10">
        <v>41751</v>
      </c>
      <c r="B925" s="9" t="s">
        <v>14</v>
      </c>
      <c r="C925" s="9" t="s">
        <v>28</v>
      </c>
      <c r="D925" s="9" t="s">
        <v>30</v>
      </c>
      <c r="E925" s="9">
        <v>8</v>
      </c>
      <c r="F925" s="9">
        <v>450</v>
      </c>
      <c r="G925" s="9">
        <f>DATOS!$E925*DATOS!$F925</f>
        <v>3600</v>
      </c>
    </row>
    <row r="926" spans="1:7" x14ac:dyDescent="0.3">
      <c r="A926" s="10">
        <v>40899</v>
      </c>
      <c r="B926" s="9" t="s">
        <v>14</v>
      </c>
      <c r="C926" s="9" t="s">
        <v>25</v>
      </c>
      <c r="D926" s="9" t="s">
        <v>31</v>
      </c>
      <c r="E926" s="9">
        <v>18</v>
      </c>
      <c r="F926" s="9">
        <v>800</v>
      </c>
      <c r="G926" s="9">
        <f>DATOS!$E926*DATOS!$F926</f>
        <v>14400</v>
      </c>
    </row>
    <row r="927" spans="1:7" x14ac:dyDescent="0.3">
      <c r="A927" s="10">
        <v>41190</v>
      </c>
      <c r="B927" s="9" t="s">
        <v>14</v>
      </c>
      <c r="C927" s="9" t="s">
        <v>25</v>
      </c>
      <c r="D927" s="9" t="s">
        <v>30</v>
      </c>
      <c r="E927" s="9">
        <v>66</v>
      </c>
      <c r="F927" s="9">
        <v>450</v>
      </c>
      <c r="G927" s="9">
        <f>DATOS!$E927*DATOS!$F927</f>
        <v>29700</v>
      </c>
    </row>
    <row r="928" spans="1:7" x14ac:dyDescent="0.3">
      <c r="A928" s="10">
        <v>40983</v>
      </c>
      <c r="B928" s="9" t="s">
        <v>14</v>
      </c>
      <c r="C928" s="9" t="s">
        <v>25</v>
      </c>
      <c r="D928" s="9" t="s">
        <v>33</v>
      </c>
      <c r="E928" s="9">
        <v>74</v>
      </c>
      <c r="F928" s="9">
        <v>650</v>
      </c>
      <c r="G928" s="9">
        <f>DATOS!$E928*DATOS!$F928</f>
        <v>48100</v>
      </c>
    </row>
    <row r="929" spans="1:7" x14ac:dyDescent="0.3">
      <c r="A929" s="10">
        <v>41686</v>
      </c>
      <c r="B929" s="9" t="s">
        <v>14</v>
      </c>
      <c r="C929" s="9" t="s">
        <v>27</v>
      </c>
      <c r="D929" s="9" t="s">
        <v>37</v>
      </c>
      <c r="E929" s="9">
        <v>44</v>
      </c>
      <c r="F929" s="9">
        <v>1200</v>
      </c>
      <c r="G929" s="9">
        <f>DATOS!$E929*DATOS!$F929</f>
        <v>52800</v>
      </c>
    </row>
    <row r="930" spans="1:7" x14ac:dyDescent="0.3">
      <c r="A930" s="10">
        <v>41847</v>
      </c>
      <c r="B930" s="9" t="s">
        <v>14</v>
      </c>
      <c r="C930" s="9" t="s">
        <v>26</v>
      </c>
      <c r="D930" s="9" t="s">
        <v>32</v>
      </c>
      <c r="E930" s="9">
        <v>26</v>
      </c>
      <c r="F930" s="9">
        <v>820</v>
      </c>
      <c r="G930" s="9">
        <f>DATOS!$E930*DATOS!$F930</f>
        <v>21320</v>
      </c>
    </row>
    <row r="931" spans="1:7" x14ac:dyDescent="0.3">
      <c r="A931" s="10">
        <v>41616</v>
      </c>
      <c r="B931" s="9" t="s">
        <v>14</v>
      </c>
      <c r="C931" s="9" t="s">
        <v>28</v>
      </c>
      <c r="D931" s="9" t="s">
        <v>31</v>
      </c>
      <c r="E931" s="9">
        <v>46</v>
      </c>
      <c r="F931" s="9">
        <v>800</v>
      </c>
      <c r="G931" s="9">
        <f>DATOS!$E931*DATOS!$F931</f>
        <v>36800</v>
      </c>
    </row>
    <row r="932" spans="1:7" x14ac:dyDescent="0.3">
      <c r="A932" s="10">
        <v>41560</v>
      </c>
      <c r="B932" s="9" t="s">
        <v>14</v>
      </c>
      <c r="C932" s="9" t="s">
        <v>28</v>
      </c>
      <c r="D932" s="9" t="s">
        <v>32</v>
      </c>
      <c r="E932" s="9">
        <v>4</v>
      </c>
      <c r="F932" s="9">
        <v>820</v>
      </c>
      <c r="G932" s="9">
        <f>DATOS!$E932*DATOS!$F932</f>
        <v>3280</v>
      </c>
    </row>
    <row r="933" spans="1:7" x14ac:dyDescent="0.3">
      <c r="A933" s="10">
        <v>41648</v>
      </c>
      <c r="B933" s="9" t="s">
        <v>14</v>
      </c>
      <c r="C933" s="9" t="s">
        <v>25</v>
      </c>
      <c r="D933" s="9" t="s">
        <v>32</v>
      </c>
      <c r="E933" s="9">
        <v>96</v>
      </c>
      <c r="F933" s="9">
        <v>950</v>
      </c>
      <c r="G933" s="9">
        <f>DATOS!$E933*DATOS!$F933</f>
        <v>91200</v>
      </c>
    </row>
    <row r="934" spans="1:7" x14ac:dyDescent="0.3">
      <c r="A934" s="10">
        <v>40541</v>
      </c>
      <c r="B934" s="9" t="s">
        <v>14</v>
      </c>
      <c r="C934" s="9" t="s">
        <v>26</v>
      </c>
      <c r="D934" s="9" t="s">
        <v>32</v>
      </c>
      <c r="E934" s="9">
        <v>166</v>
      </c>
      <c r="F934" s="9">
        <v>950</v>
      </c>
      <c r="G934" s="9">
        <f>DATOS!$E934*DATOS!$F934</f>
        <v>157700</v>
      </c>
    </row>
    <row r="935" spans="1:7" x14ac:dyDescent="0.3">
      <c r="A935" s="10">
        <v>40466</v>
      </c>
      <c r="B935" s="9" t="s">
        <v>14</v>
      </c>
      <c r="C935" s="9" t="s">
        <v>24</v>
      </c>
      <c r="D935" s="9" t="s">
        <v>31</v>
      </c>
      <c r="E935" s="9">
        <v>7</v>
      </c>
      <c r="F935" s="9">
        <v>800</v>
      </c>
      <c r="G935" s="9">
        <f>DATOS!$E935*DATOS!$F935</f>
        <v>5600</v>
      </c>
    </row>
    <row r="936" spans="1:7" x14ac:dyDescent="0.3">
      <c r="A936" s="10">
        <v>40940</v>
      </c>
      <c r="B936" s="9" t="s">
        <v>14</v>
      </c>
      <c r="C936" s="9" t="s">
        <v>28</v>
      </c>
      <c r="D936" s="9" t="s">
        <v>31</v>
      </c>
      <c r="E936" s="9">
        <v>6</v>
      </c>
      <c r="F936" s="9">
        <v>800</v>
      </c>
      <c r="G936" s="9">
        <f>DATOS!$E936*DATOS!$F936</f>
        <v>4800</v>
      </c>
    </row>
    <row r="937" spans="1:7" x14ac:dyDescent="0.3">
      <c r="A937" s="10">
        <v>40382</v>
      </c>
      <c r="B937" s="9" t="s">
        <v>14</v>
      </c>
      <c r="C937" s="9" t="s">
        <v>26</v>
      </c>
      <c r="D937" s="9" t="s">
        <v>32</v>
      </c>
      <c r="E937" s="9">
        <v>44</v>
      </c>
      <c r="F937" s="9">
        <v>950</v>
      </c>
      <c r="G937" s="9">
        <f>DATOS!$E937*DATOS!$F937</f>
        <v>41800</v>
      </c>
    </row>
    <row r="938" spans="1:7" x14ac:dyDescent="0.3">
      <c r="A938" s="10">
        <v>40717</v>
      </c>
      <c r="B938" s="9" t="s">
        <v>14</v>
      </c>
      <c r="C938" s="9" t="s">
        <v>24</v>
      </c>
      <c r="D938" s="9" t="s">
        <v>32</v>
      </c>
      <c r="E938" s="9">
        <v>70</v>
      </c>
      <c r="F938" s="9">
        <v>820</v>
      </c>
      <c r="G938" s="9">
        <f>DATOS!$E938*DATOS!$F938</f>
        <v>57400</v>
      </c>
    </row>
    <row r="939" spans="1:7" x14ac:dyDescent="0.3">
      <c r="A939" s="10">
        <v>41950</v>
      </c>
      <c r="B939" s="9" t="s">
        <v>14</v>
      </c>
      <c r="C939" s="9" t="s">
        <v>29</v>
      </c>
      <c r="D939" s="9" t="s">
        <v>31</v>
      </c>
      <c r="E939" s="9">
        <v>116</v>
      </c>
      <c r="F939" s="9">
        <v>800</v>
      </c>
      <c r="G939" s="9">
        <f>DATOS!$E939*DATOS!$F939</f>
        <v>92800</v>
      </c>
    </row>
    <row r="940" spans="1:7" x14ac:dyDescent="0.3">
      <c r="A940" s="10">
        <v>41757</v>
      </c>
      <c r="B940" s="9" t="s">
        <v>14</v>
      </c>
      <c r="C940" s="9" t="s">
        <v>29</v>
      </c>
      <c r="D940" s="9" t="s">
        <v>31</v>
      </c>
      <c r="E940" s="9">
        <v>149</v>
      </c>
      <c r="F940" s="9">
        <v>800</v>
      </c>
      <c r="G940" s="9">
        <f>DATOS!$E940*DATOS!$F940</f>
        <v>119200</v>
      </c>
    </row>
    <row r="941" spans="1:7" x14ac:dyDescent="0.3">
      <c r="A941" s="10">
        <v>40367</v>
      </c>
      <c r="B941" s="9" t="s">
        <v>14</v>
      </c>
      <c r="C941" s="9" t="s">
        <v>27</v>
      </c>
      <c r="D941" s="9" t="s">
        <v>32</v>
      </c>
      <c r="E941" s="9">
        <v>40</v>
      </c>
      <c r="F941" s="9">
        <v>820</v>
      </c>
      <c r="G941" s="9">
        <f>DATOS!$E941*DATOS!$F941</f>
        <v>32800</v>
      </c>
    </row>
    <row r="942" spans="1:7" x14ac:dyDescent="0.3">
      <c r="A942" s="10">
        <v>40600</v>
      </c>
      <c r="B942" s="9" t="s">
        <v>14</v>
      </c>
      <c r="C942" s="9" t="s">
        <v>29</v>
      </c>
      <c r="D942" s="9" t="s">
        <v>30</v>
      </c>
      <c r="E942" s="9">
        <v>199</v>
      </c>
      <c r="F942" s="9">
        <v>450</v>
      </c>
      <c r="G942" s="9">
        <f>DATOS!$E942*DATOS!$F942</f>
        <v>89550</v>
      </c>
    </row>
    <row r="943" spans="1:7" x14ac:dyDescent="0.3">
      <c r="A943" s="10">
        <v>40592</v>
      </c>
      <c r="B943" s="9" t="s">
        <v>14</v>
      </c>
      <c r="C943" s="9" t="s">
        <v>24</v>
      </c>
      <c r="D943" s="9" t="s">
        <v>30</v>
      </c>
      <c r="E943" s="9">
        <v>69</v>
      </c>
      <c r="F943" s="9">
        <v>450</v>
      </c>
      <c r="G943" s="9">
        <f>DATOS!$E943*DATOS!$F943</f>
        <v>31050</v>
      </c>
    </row>
    <row r="944" spans="1:7" x14ac:dyDescent="0.3">
      <c r="A944" s="10">
        <v>41522</v>
      </c>
      <c r="B944" s="9" t="s">
        <v>14</v>
      </c>
      <c r="C944" s="9" t="s">
        <v>28</v>
      </c>
      <c r="D944" s="9" t="s">
        <v>31</v>
      </c>
      <c r="E944" s="9">
        <v>18</v>
      </c>
      <c r="F944" s="9">
        <v>800</v>
      </c>
      <c r="G944" s="9">
        <f>DATOS!$E944*DATOS!$F944</f>
        <v>14400</v>
      </c>
    </row>
    <row r="945" spans="1:7" x14ac:dyDescent="0.3">
      <c r="A945" s="10">
        <v>41879</v>
      </c>
      <c r="B945" s="9" t="s">
        <v>14</v>
      </c>
      <c r="C945" s="9" t="s">
        <v>25</v>
      </c>
      <c r="D945" s="9" t="s">
        <v>31</v>
      </c>
      <c r="E945" s="9">
        <v>52</v>
      </c>
      <c r="F945" s="9">
        <v>800</v>
      </c>
      <c r="G945" s="9">
        <f>DATOS!$E945*DATOS!$F945</f>
        <v>41600</v>
      </c>
    </row>
    <row r="946" spans="1:7" x14ac:dyDescent="0.3">
      <c r="A946" s="10">
        <v>40809</v>
      </c>
      <c r="B946" s="9" t="s">
        <v>14</v>
      </c>
      <c r="C946" s="9" t="s">
        <v>27</v>
      </c>
      <c r="D946" s="9" t="s">
        <v>33</v>
      </c>
      <c r="E946" s="9">
        <v>46</v>
      </c>
      <c r="F946" s="9">
        <v>650</v>
      </c>
      <c r="G946" s="9">
        <f>DATOS!$E946*DATOS!$F946</f>
        <v>29900</v>
      </c>
    </row>
    <row r="947" spans="1:7" x14ac:dyDescent="0.3">
      <c r="A947" s="10">
        <v>40864</v>
      </c>
      <c r="B947" s="9" t="s">
        <v>14</v>
      </c>
      <c r="C947" s="9" t="s">
        <v>24</v>
      </c>
      <c r="D947" s="9" t="s">
        <v>30</v>
      </c>
      <c r="E947" s="9">
        <v>11</v>
      </c>
      <c r="F947" s="9">
        <v>450</v>
      </c>
      <c r="G947" s="9">
        <f>DATOS!$E947*DATOS!$F947</f>
        <v>4950</v>
      </c>
    </row>
    <row r="948" spans="1:7" x14ac:dyDescent="0.3">
      <c r="A948" s="10">
        <v>41496</v>
      </c>
      <c r="B948" s="9" t="s">
        <v>14</v>
      </c>
      <c r="C948" s="9" t="s">
        <v>24</v>
      </c>
      <c r="D948" s="9" t="s">
        <v>32</v>
      </c>
      <c r="E948" s="9">
        <v>110</v>
      </c>
      <c r="F948" s="9">
        <v>820</v>
      </c>
      <c r="G948" s="9">
        <f>DATOS!$E948*DATOS!$F948</f>
        <v>90200</v>
      </c>
    </row>
    <row r="949" spans="1:7" x14ac:dyDescent="0.3">
      <c r="A949" s="10">
        <v>40895</v>
      </c>
      <c r="B949" s="9" t="s">
        <v>14</v>
      </c>
      <c r="C949" s="9" t="s">
        <v>29</v>
      </c>
      <c r="D949" s="9" t="s">
        <v>37</v>
      </c>
      <c r="E949" s="9">
        <v>131</v>
      </c>
      <c r="F949" s="9">
        <v>1200</v>
      </c>
      <c r="G949" s="9">
        <f>DATOS!$E949*DATOS!$F949</f>
        <v>157200</v>
      </c>
    </row>
    <row r="950" spans="1:7" x14ac:dyDescent="0.3">
      <c r="A950" s="10">
        <v>40903</v>
      </c>
      <c r="B950" s="9" t="s">
        <v>14</v>
      </c>
      <c r="C950" s="9" t="s">
        <v>27</v>
      </c>
      <c r="D950" s="9" t="s">
        <v>32</v>
      </c>
      <c r="E950" s="9">
        <v>44</v>
      </c>
      <c r="F950" s="9">
        <v>950</v>
      </c>
      <c r="G950" s="9">
        <f>DATOS!$E950*DATOS!$F950</f>
        <v>41800</v>
      </c>
    </row>
    <row r="951" spans="1:7" x14ac:dyDescent="0.3">
      <c r="A951" s="10">
        <v>40912</v>
      </c>
      <c r="B951" s="9" t="s">
        <v>14</v>
      </c>
      <c r="C951" s="9" t="s">
        <v>29</v>
      </c>
      <c r="D951" s="9" t="s">
        <v>37</v>
      </c>
      <c r="E951" s="9">
        <v>114</v>
      </c>
      <c r="F951" s="9">
        <v>1200</v>
      </c>
      <c r="G951" s="9">
        <f>DATOS!$E951*DATOS!$F951</f>
        <v>136800</v>
      </c>
    </row>
    <row r="952" spans="1:7" x14ac:dyDescent="0.3">
      <c r="A952" s="10">
        <v>41434</v>
      </c>
      <c r="B952" s="9" t="s">
        <v>14</v>
      </c>
      <c r="C952" s="9" t="s">
        <v>26</v>
      </c>
      <c r="D952" s="9" t="s">
        <v>32</v>
      </c>
      <c r="E952" s="9">
        <v>16</v>
      </c>
      <c r="F952" s="9">
        <v>820</v>
      </c>
      <c r="G952" s="9">
        <f>DATOS!$E952*DATOS!$F952</f>
        <v>13120</v>
      </c>
    </row>
    <row r="953" spans="1:7" x14ac:dyDescent="0.3">
      <c r="A953" s="10">
        <v>40342</v>
      </c>
      <c r="B953" s="9" t="s">
        <v>14</v>
      </c>
      <c r="C953" s="9" t="s">
        <v>28</v>
      </c>
      <c r="D953" s="9" t="s">
        <v>32</v>
      </c>
      <c r="E953" s="9">
        <v>29</v>
      </c>
      <c r="F953" s="9">
        <v>820</v>
      </c>
      <c r="G953" s="9">
        <f>DATOS!$E953*DATOS!$F953</f>
        <v>23780</v>
      </c>
    </row>
    <row r="954" spans="1:7" x14ac:dyDescent="0.3">
      <c r="A954" s="10">
        <v>40366</v>
      </c>
      <c r="B954" s="9" t="s">
        <v>14</v>
      </c>
      <c r="C954" s="9" t="s">
        <v>28</v>
      </c>
      <c r="D954" s="9" t="s">
        <v>31</v>
      </c>
      <c r="E954" s="9">
        <v>14</v>
      </c>
      <c r="F954" s="9">
        <v>800</v>
      </c>
      <c r="G954" s="9">
        <f>DATOS!$E954*DATOS!$F954</f>
        <v>11200</v>
      </c>
    </row>
    <row r="955" spans="1:7" x14ac:dyDescent="0.3">
      <c r="A955" s="10">
        <v>41604</v>
      </c>
      <c r="B955" s="9" t="s">
        <v>14</v>
      </c>
      <c r="C955" s="9" t="s">
        <v>26</v>
      </c>
      <c r="D955" s="9" t="s">
        <v>31</v>
      </c>
      <c r="E955" s="9">
        <v>70</v>
      </c>
      <c r="F955" s="9">
        <v>800</v>
      </c>
      <c r="G955" s="9">
        <f>DATOS!$E955*DATOS!$F955</f>
        <v>56000</v>
      </c>
    </row>
    <row r="956" spans="1:7" x14ac:dyDescent="0.3">
      <c r="A956" s="10">
        <v>41594</v>
      </c>
      <c r="B956" s="9" t="s">
        <v>14</v>
      </c>
      <c r="C956" s="9" t="s">
        <v>24</v>
      </c>
      <c r="D956" s="9" t="s">
        <v>33</v>
      </c>
      <c r="E956" s="9">
        <v>11</v>
      </c>
      <c r="F956" s="9">
        <v>650</v>
      </c>
      <c r="G956" s="9">
        <f>DATOS!$E956*DATOS!$F956</f>
        <v>7150</v>
      </c>
    </row>
    <row r="957" spans="1:7" x14ac:dyDescent="0.3">
      <c r="A957" s="10">
        <v>40510</v>
      </c>
      <c r="B957" s="9" t="s">
        <v>14</v>
      </c>
      <c r="C957" s="9" t="s">
        <v>27</v>
      </c>
      <c r="D957" s="9" t="s">
        <v>33</v>
      </c>
      <c r="E957" s="9">
        <v>1</v>
      </c>
      <c r="F957" s="9">
        <v>650</v>
      </c>
      <c r="G957" s="9">
        <f>DATOS!$E957*DATOS!$F957</f>
        <v>650</v>
      </c>
    </row>
    <row r="958" spans="1:7" x14ac:dyDescent="0.3">
      <c r="A958" s="10">
        <v>41241</v>
      </c>
      <c r="B958" s="9" t="s">
        <v>14</v>
      </c>
      <c r="C958" s="9" t="s">
        <v>28</v>
      </c>
      <c r="D958" s="9" t="s">
        <v>37</v>
      </c>
      <c r="E958" s="9">
        <v>3</v>
      </c>
      <c r="F958" s="9">
        <v>1200</v>
      </c>
      <c r="G958" s="9">
        <f>DATOS!$E958*DATOS!$F958</f>
        <v>3600</v>
      </c>
    </row>
    <row r="959" spans="1:7" x14ac:dyDescent="0.3">
      <c r="A959" s="10">
        <v>40390</v>
      </c>
      <c r="B959" s="9" t="s">
        <v>14</v>
      </c>
      <c r="C959" s="9" t="s">
        <v>28</v>
      </c>
      <c r="D959" s="9" t="s">
        <v>32</v>
      </c>
      <c r="E959" s="9">
        <v>45</v>
      </c>
      <c r="F959" s="9">
        <v>820</v>
      </c>
      <c r="G959" s="9">
        <f>DATOS!$E959*DATOS!$F959</f>
        <v>36900</v>
      </c>
    </row>
    <row r="960" spans="1:7" x14ac:dyDescent="0.3">
      <c r="A960" s="10">
        <v>41518</v>
      </c>
      <c r="B960" s="9" t="s">
        <v>14</v>
      </c>
      <c r="C960" s="9" t="s">
        <v>27</v>
      </c>
      <c r="D960" s="9" t="s">
        <v>37</v>
      </c>
      <c r="E960" s="9">
        <v>18</v>
      </c>
      <c r="F960" s="9">
        <v>1200</v>
      </c>
      <c r="G960" s="9">
        <f>DATOS!$E960*DATOS!$F960</f>
        <v>21600</v>
      </c>
    </row>
    <row r="961" spans="1:7" x14ac:dyDescent="0.3">
      <c r="A961" s="10">
        <v>40649</v>
      </c>
      <c r="B961" s="9" t="s">
        <v>14</v>
      </c>
      <c r="C961" s="9" t="s">
        <v>29</v>
      </c>
      <c r="D961" s="9" t="s">
        <v>30</v>
      </c>
      <c r="E961" s="9">
        <v>106</v>
      </c>
      <c r="F961" s="9">
        <v>450</v>
      </c>
      <c r="G961" s="9">
        <f>DATOS!$E961*DATOS!$F961</f>
        <v>47700</v>
      </c>
    </row>
    <row r="962" spans="1:7" x14ac:dyDescent="0.3">
      <c r="A962" s="10">
        <v>40654</v>
      </c>
      <c r="B962" s="9" t="s">
        <v>14</v>
      </c>
      <c r="C962" s="9" t="s">
        <v>25</v>
      </c>
      <c r="D962" s="9" t="s">
        <v>30</v>
      </c>
      <c r="E962" s="9">
        <v>15</v>
      </c>
      <c r="F962" s="9">
        <v>450</v>
      </c>
      <c r="G962" s="9">
        <f>DATOS!$E962*DATOS!$F962</f>
        <v>6750</v>
      </c>
    </row>
    <row r="963" spans="1:7" x14ac:dyDescent="0.3">
      <c r="A963" s="10">
        <v>41243</v>
      </c>
      <c r="B963" s="9" t="s">
        <v>14</v>
      </c>
      <c r="C963" s="9" t="s">
        <v>27</v>
      </c>
      <c r="D963" s="9" t="s">
        <v>32</v>
      </c>
      <c r="E963" s="9">
        <v>9</v>
      </c>
      <c r="F963" s="9">
        <v>950</v>
      </c>
      <c r="G963" s="9">
        <f>DATOS!$E963*DATOS!$F963</f>
        <v>8550</v>
      </c>
    </row>
    <row r="964" spans="1:7" x14ac:dyDescent="0.3">
      <c r="A964" s="10">
        <v>40377</v>
      </c>
      <c r="B964" s="9" t="s">
        <v>14</v>
      </c>
      <c r="C964" s="9" t="s">
        <v>24</v>
      </c>
      <c r="D964" s="9" t="s">
        <v>37</v>
      </c>
      <c r="E964" s="9">
        <v>109</v>
      </c>
      <c r="F964" s="9">
        <v>1200</v>
      </c>
      <c r="G964" s="9">
        <f>DATOS!$E964*DATOS!$F964</f>
        <v>130800</v>
      </c>
    </row>
    <row r="965" spans="1:7" x14ac:dyDescent="0.3">
      <c r="A965" s="10">
        <v>41882</v>
      </c>
      <c r="B965" s="9" t="s">
        <v>14</v>
      </c>
      <c r="C965" s="9" t="s">
        <v>26</v>
      </c>
      <c r="D965" s="9" t="s">
        <v>32</v>
      </c>
      <c r="E965" s="9">
        <v>19</v>
      </c>
      <c r="F965" s="9">
        <v>950</v>
      </c>
      <c r="G965" s="9">
        <f>DATOS!$E965*DATOS!$F965</f>
        <v>18050</v>
      </c>
    </row>
    <row r="966" spans="1:7" x14ac:dyDescent="0.3">
      <c r="A966" s="10">
        <v>41236</v>
      </c>
      <c r="B966" s="9" t="s">
        <v>15</v>
      </c>
      <c r="C966" s="9" t="s">
        <v>25</v>
      </c>
      <c r="D966" s="9" t="s">
        <v>30</v>
      </c>
      <c r="E966" s="9">
        <v>11</v>
      </c>
      <c r="F966" s="9">
        <v>450</v>
      </c>
      <c r="G966" s="9">
        <f>DATOS!$E966*DATOS!$F966</f>
        <v>4950</v>
      </c>
    </row>
    <row r="967" spans="1:7" x14ac:dyDescent="0.3">
      <c r="A967" s="10">
        <v>40226</v>
      </c>
      <c r="B967" s="9" t="s">
        <v>15</v>
      </c>
      <c r="C967" s="9" t="s">
        <v>29</v>
      </c>
      <c r="D967" s="9" t="s">
        <v>33</v>
      </c>
      <c r="E967" s="9">
        <v>42</v>
      </c>
      <c r="F967" s="9">
        <v>650</v>
      </c>
      <c r="G967" s="9">
        <f>DATOS!$E967*DATOS!$F967</f>
        <v>27300</v>
      </c>
    </row>
    <row r="968" spans="1:7" x14ac:dyDescent="0.3">
      <c r="A968" s="10">
        <v>40357</v>
      </c>
      <c r="B968" s="9" t="s">
        <v>15</v>
      </c>
      <c r="C968" s="9" t="s">
        <v>25</v>
      </c>
      <c r="D968" s="9" t="s">
        <v>31</v>
      </c>
      <c r="E968" s="9">
        <v>18</v>
      </c>
      <c r="F968" s="9">
        <v>800</v>
      </c>
      <c r="G968" s="9">
        <f>DATOS!$E968*DATOS!$F968</f>
        <v>14400</v>
      </c>
    </row>
    <row r="969" spans="1:7" x14ac:dyDescent="0.3">
      <c r="A969" s="10">
        <v>41329</v>
      </c>
      <c r="B969" s="9" t="s">
        <v>15</v>
      </c>
      <c r="C969" s="9" t="s">
        <v>26</v>
      </c>
      <c r="D969" s="9" t="s">
        <v>31</v>
      </c>
      <c r="E969" s="9">
        <v>106</v>
      </c>
      <c r="F969" s="9">
        <v>800</v>
      </c>
      <c r="G969" s="9">
        <f>DATOS!$E969*DATOS!$F969</f>
        <v>84800</v>
      </c>
    </row>
    <row r="970" spans="1:7" x14ac:dyDescent="0.3">
      <c r="A970" s="10">
        <v>41856</v>
      </c>
      <c r="B970" s="9" t="s">
        <v>15</v>
      </c>
      <c r="C970" s="9" t="s">
        <v>25</v>
      </c>
      <c r="D970" s="9" t="s">
        <v>32</v>
      </c>
      <c r="E970" s="9">
        <v>131</v>
      </c>
      <c r="F970" s="9">
        <v>950</v>
      </c>
      <c r="G970" s="9">
        <f>DATOS!$E970*DATOS!$F970</f>
        <v>124450</v>
      </c>
    </row>
    <row r="971" spans="1:7" x14ac:dyDescent="0.3">
      <c r="A971" s="10">
        <v>40855</v>
      </c>
      <c r="B971" s="9" t="s">
        <v>15</v>
      </c>
      <c r="C971" s="9" t="s">
        <v>25</v>
      </c>
      <c r="D971" s="9" t="s">
        <v>32</v>
      </c>
      <c r="E971" s="9">
        <v>43</v>
      </c>
      <c r="F971" s="9">
        <v>820</v>
      </c>
      <c r="G971" s="9">
        <f>DATOS!$E971*DATOS!$F971</f>
        <v>35260</v>
      </c>
    </row>
    <row r="972" spans="1:7" x14ac:dyDescent="0.3">
      <c r="A972" s="10">
        <v>40794</v>
      </c>
      <c r="B972" s="9" t="s">
        <v>15</v>
      </c>
      <c r="C972" s="9" t="s">
        <v>27</v>
      </c>
      <c r="D972" s="9" t="s">
        <v>31</v>
      </c>
      <c r="E972" s="9">
        <v>90</v>
      </c>
      <c r="F972" s="9">
        <v>800</v>
      </c>
      <c r="G972" s="9">
        <f>DATOS!$E972*DATOS!$F972</f>
        <v>72000</v>
      </c>
    </row>
    <row r="973" spans="1:7" x14ac:dyDescent="0.3">
      <c r="A973" s="10">
        <v>41673</v>
      </c>
      <c r="B973" s="9" t="s">
        <v>15</v>
      </c>
      <c r="C973" s="9" t="s">
        <v>29</v>
      </c>
      <c r="D973" s="9" t="s">
        <v>32</v>
      </c>
      <c r="E973" s="9">
        <v>97</v>
      </c>
      <c r="F973" s="9">
        <v>820</v>
      </c>
      <c r="G973" s="9">
        <f>DATOS!$E973*DATOS!$F973</f>
        <v>79540</v>
      </c>
    </row>
    <row r="974" spans="1:7" x14ac:dyDescent="0.3">
      <c r="A974" s="10">
        <v>40207</v>
      </c>
      <c r="B974" s="9" t="s">
        <v>15</v>
      </c>
      <c r="C974" s="9" t="s">
        <v>28</v>
      </c>
      <c r="D974" s="9" t="s">
        <v>32</v>
      </c>
      <c r="E974" s="9">
        <v>11</v>
      </c>
      <c r="F974" s="9">
        <v>820</v>
      </c>
      <c r="G974" s="9">
        <f>DATOS!$E974*DATOS!$F974</f>
        <v>9020</v>
      </c>
    </row>
    <row r="975" spans="1:7" x14ac:dyDescent="0.3">
      <c r="A975" s="10">
        <v>41538</v>
      </c>
      <c r="B975" s="9" t="s">
        <v>15</v>
      </c>
      <c r="C975" s="9" t="s">
        <v>25</v>
      </c>
      <c r="D975" s="9" t="s">
        <v>33</v>
      </c>
      <c r="E975" s="9">
        <v>192</v>
      </c>
      <c r="F975" s="9">
        <v>650</v>
      </c>
      <c r="G975" s="9">
        <f>DATOS!$E975*DATOS!$F975</f>
        <v>124800</v>
      </c>
    </row>
    <row r="976" spans="1:7" x14ac:dyDescent="0.3">
      <c r="A976" s="10">
        <v>41927</v>
      </c>
      <c r="B976" s="9" t="s">
        <v>15</v>
      </c>
      <c r="C976" s="9" t="s">
        <v>29</v>
      </c>
      <c r="D976" s="9" t="s">
        <v>30</v>
      </c>
      <c r="E976" s="9">
        <v>43</v>
      </c>
      <c r="F976" s="9">
        <v>450</v>
      </c>
      <c r="G976" s="9">
        <f>DATOS!$E976*DATOS!$F976</f>
        <v>19350</v>
      </c>
    </row>
    <row r="977" spans="1:7" x14ac:dyDescent="0.3">
      <c r="A977" s="10">
        <v>40692</v>
      </c>
      <c r="B977" s="9" t="s">
        <v>15</v>
      </c>
      <c r="C977" s="9" t="s">
        <v>26</v>
      </c>
      <c r="D977" s="9" t="s">
        <v>37</v>
      </c>
      <c r="E977" s="9">
        <v>86</v>
      </c>
      <c r="F977" s="9">
        <v>1200</v>
      </c>
      <c r="G977" s="9">
        <f>DATOS!$E977*DATOS!$F977</f>
        <v>103200</v>
      </c>
    </row>
    <row r="978" spans="1:7" x14ac:dyDescent="0.3">
      <c r="A978" s="10">
        <v>41722</v>
      </c>
      <c r="B978" s="9" t="s">
        <v>15</v>
      </c>
      <c r="C978" s="9" t="s">
        <v>29</v>
      </c>
      <c r="D978" s="9" t="s">
        <v>32</v>
      </c>
      <c r="E978" s="9">
        <v>5</v>
      </c>
      <c r="F978" s="9">
        <v>950</v>
      </c>
      <c r="G978" s="9">
        <f>DATOS!$E978*DATOS!$F978</f>
        <v>4750</v>
      </c>
    </row>
    <row r="979" spans="1:7" x14ac:dyDescent="0.3">
      <c r="A979" s="10">
        <v>40425</v>
      </c>
      <c r="B979" s="9" t="s">
        <v>15</v>
      </c>
      <c r="C979" s="9" t="s">
        <v>26</v>
      </c>
      <c r="D979" s="9" t="s">
        <v>32</v>
      </c>
      <c r="E979" s="9">
        <v>35</v>
      </c>
      <c r="F979" s="9">
        <v>950</v>
      </c>
      <c r="G979" s="9">
        <f>DATOS!$E979*DATOS!$F979</f>
        <v>33250</v>
      </c>
    </row>
    <row r="980" spans="1:7" x14ac:dyDescent="0.3">
      <c r="A980" s="10">
        <v>40444</v>
      </c>
      <c r="B980" s="9" t="s">
        <v>15</v>
      </c>
      <c r="C980" s="9" t="s">
        <v>27</v>
      </c>
      <c r="D980" s="9" t="s">
        <v>30</v>
      </c>
      <c r="E980" s="9">
        <v>19</v>
      </c>
      <c r="F980" s="9">
        <v>450</v>
      </c>
      <c r="G980" s="9">
        <f>DATOS!$E980*DATOS!$F980</f>
        <v>8550</v>
      </c>
    </row>
    <row r="981" spans="1:7" x14ac:dyDescent="0.3">
      <c r="A981" s="10">
        <v>40609</v>
      </c>
      <c r="B981" s="9" t="s">
        <v>15</v>
      </c>
      <c r="C981" s="9" t="s">
        <v>25</v>
      </c>
      <c r="D981" s="9" t="s">
        <v>31</v>
      </c>
      <c r="E981" s="9">
        <v>34</v>
      </c>
      <c r="F981" s="9">
        <v>800</v>
      </c>
      <c r="G981" s="9">
        <f>DATOS!$E981*DATOS!$F981</f>
        <v>27200</v>
      </c>
    </row>
    <row r="982" spans="1:7" x14ac:dyDescent="0.3">
      <c r="A982" s="10">
        <v>40919</v>
      </c>
      <c r="B982" s="9" t="s">
        <v>15</v>
      </c>
      <c r="C982" s="9" t="s">
        <v>24</v>
      </c>
      <c r="D982" s="9" t="s">
        <v>37</v>
      </c>
      <c r="E982" s="9">
        <v>9</v>
      </c>
      <c r="F982" s="9">
        <v>1200</v>
      </c>
      <c r="G982" s="9">
        <f>DATOS!$E982*DATOS!$F982</f>
        <v>10800</v>
      </c>
    </row>
    <row r="983" spans="1:7" x14ac:dyDescent="0.3">
      <c r="A983" s="10">
        <v>41408</v>
      </c>
      <c r="B983" s="9" t="s">
        <v>15</v>
      </c>
      <c r="C983" s="9" t="s">
        <v>26</v>
      </c>
      <c r="D983" s="9" t="s">
        <v>32</v>
      </c>
      <c r="E983" s="9">
        <v>6</v>
      </c>
      <c r="F983" s="9">
        <v>950</v>
      </c>
      <c r="G983" s="9">
        <f>DATOS!$E983*DATOS!$F983</f>
        <v>5700</v>
      </c>
    </row>
    <row r="984" spans="1:7" x14ac:dyDescent="0.3">
      <c r="A984" s="10">
        <v>40925</v>
      </c>
      <c r="B984" s="9" t="s">
        <v>15</v>
      </c>
      <c r="C984" s="9" t="s">
        <v>29</v>
      </c>
      <c r="D984" s="9" t="s">
        <v>37</v>
      </c>
      <c r="E984" s="9">
        <v>77</v>
      </c>
      <c r="F984" s="9">
        <v>1200</v>
      </c>
      <c r="G984" s="9">
        <f>DATOS!$E984*DATOS!$F984</f>
        <v>92400</v>
      </c>
    </row>
    <row r="985" spans="1:7" x14ac:dyDescent="0.3">
      <c r="A985" s="10">
        <v>41213</v>
      </c>
      <c r="B985" s="9" t="s">
        <v>15</v>
      </c>
      <c r="C985" s="9" t="s">
        <v>27</v>
      </c>
      <c r="D985" s="9" t="s">
        <v>37</v>
      </c>
      <c r="E985" s="9">
        <v>49</v>
      </c>
      <c r="F985" s="9">
        <v>1200</v>
      </c>
      <c r="G985" s="9">
        <f>DATOS!$E985*DATOS!$F985</f>
        <v>58800</v>
      </c>
    </row>
    <row r="986" spans="1:7" x14ac:dyDescent="0.3">
      <c r="A986" s="10">
        <v>41611</v>
      </c>
      <c r="B986" s="9" t="s">
        <v>15</v>
      </c>
      <c r="C986" s="9" t="s">
        <v>25</v>
      </c>
      <c r="D986" s="9" t="s">
        <v>37</v>
      </c>
      <c r="E986" s="9">
        <v>31</v>
      </c>
      <c r="F986" s="9">
        <v>1200</v>
      </c>
      <c r="G986" s="9">
        <f>DATOS!$E986*DATOS!$F986</f>
        <v>37200</v>
      </c>
    </row>
    <row r="987" spans="1:7" x14ac:dyDescent="0.3">
      <c r="A987" s="10">
        <v>40824</v>
      </c>
      <c r="B987" s="9" t="s">
        <v>15</v>
      </c>
      <c r="C987" s="9" t="s">
        <v>26</v>
      </c>
      <c r="D987" s="9" t="s">
        <v>32</v>
      </c>
      <c r="E987" s="9">
        <v>22</v>
      </c>
      <c r="F987" s="9">
        <v>820</v>
      </c>
      <c r="G987" s="9">
        <f>DATOS!$E987*DATOS!$F987</f>
        <v>18040</v>
      </c>
    </row>
    <row r="988" spans="1:7" x14ac:dyDescent="0.3">
      <c r="A988" s="10">
        <v>41983</v>
      </c>
      <c r="B988" s="9" t="s">
        <v>15</v>
      </c>
      <c r="C988" s="9" t="s">
        <v>25</v>
      </c>
      <c r="D988" s="9" t="s">
        <v>31</v>
      </c>
      <c r="E988" s="9">
        <v>121</v>
      </c>
      <c r="F988" s="9">
        <v>800</v>
      </c>
      <c r="G988" s="9">
        <f>DATOS!$E988*DATOS!$F988</f>
        <v>96800</v>
      </c>
    </row>
    <row r="989" spans="1:7" x14ac:dyDescent="0.3">
      <c r="A989" s="10">
        <v>40576</v>
      </c>
      <c r="B989" s="9" t="s">
        <v>15</v>
      </c>
      <c r="C989" s="9" t="s">
        <v>28</v>
      </c>
      <c r="D989" s="9" t="s">
        <v>33</v>
      </c>
      <c r="E989" s="9">
        <v>11</v>
      </c>
      <c r="F989" s="9">
        <v>650</v>
      </c>
      <c r="G989" s="9">
        <f>DATOS!$E989*DATOS!$F989</f>
        <v>7150</v>
      </c>
    </row>
    <row r="990" spans="1:7" x14ac:dyDescent="0.3">
      <c r="A990" s="10">
        <v>40457</v>
      </c>
      <c r="B990" s="9" t="s">
        <v>15</v>
      </c>
      <c r="C990" s="9" t="s">
        <v>27</v>
      </c>
      <c r="D990" s="9" t="s">
        <v>37</v>
      </c>
      <c r="E990" s="9">
        <v>55</v>
      </c>
      <c r="F990" s="9">
        <v>1200</v>
      </c>
      <c r="G990" s="9">
        <f>DATOS!$E990*DATOS!$F990</f>
        <v>66000</v>
      </c>
    </row>
    <row r="991" spans="1:7" x14ac:dyDescent="0.3">
      <c r="A991" s="10">
        <v>41626</v>
      </c>
      <c r="B991" s="9" t="s">
        <v>15</v>
      </c>
      <c r="C991" s="9" t="s">
        <v>25</v>
      </c>
      <c r="D991" s="9" t="s">
        <v>32</v>
      </c>
      <c r="E991" s="9">
        <v>219</v>
      </c>
      <c r="F991" s="9">
        <v>820</v>
      </c>
      <c r="G991" s="9">
        <f>DATOS!$E991*DATOS!$F991</f>
        <v>179580</v>
      </c>
    </row>
    <row r="992" spans="1:7" x14ac:dyDescent="0.3">
      <c r="A992" s="10">
        <v>40658</v>
      </c>
      <c r="B992" s="9" t="s">
        <v>15</v>
      </c>
      <c r="C992" s="9" t="s">
        <v>28</v>
      </c>
      <c r="D992" s="9" t="s">
        <v>33</v>
      </c>
      <c r="E992" s="9">
        <v>6</v>
      </c>
      <c r="F992" s="9">
        <v>650</v>
      </c>
      <c r="G992" s="9">
        <f>DATOS!$E992*DATOS!$F992</f>
        <v>3900</v>
      </c>
    </row>
    <row r="993" spans="1:7" x14ac:dyDescent="0.3">
      <c r="A993" s="10">
        <v>40295</v>
      </c>
      <c r="B993" s="9" t="s">
        <v>15</v>
      </c>
      <c r="C993" s="9" t="s">
        <v>25</v>
      </c>
      <c r="D993" s="9" t="s">
        <v>32</v>
      </c>
      <c r="E993" s="9">
        <v>17</v>
      </c>
      <c r="F993" s="9">
        <v>950</v>
      </c>
      <c r="G993" s="9">
        <f>DATOS!$E993*DATOS!$F993</f>
        <v>16150</v>
      </c>
    </row>
    <row r="994" spans="1:7" x14ac:dyDescent="0.3">
      <c r="A994" s="10">
        <v>41847</v>
      </c>
      <c r="B994" s="9" t="s">
        <v>15</v>
      </c>
      <c r="C994" s="9" t="s">
        <v>24</v>
      </c>
      <c r="D994" s="9" t="s">
        <v>32</v>
      </c>
      <c r="E994" s="9">
        <v>18</v>
      </c>
      <c r="F994" s="9">
        <v>950</v>
      </c>
      <c r="G994" s="9">
        <f>DATOS!$E994*DATOS!$F994</f>
        <v>17100</v>
      </c>
    </row>
    <row r="995" spans="1:7" x14ac:dyDescent="0.3">
      <c r="A995" s="10">
        <v>41697</v>
      </c>
      <c r="B995" s="9" t="s">
        <v>15</v>
      </c>
      <c r="C995" s="9" t="s">
        <v>29</v>
      </c>
      <c r="D995" s="9" t="s">
        <v>32</v>
      </c>
      <c r="E995" s="9">
        <v>26</v>
      </c>
      <c r="F995" s="9">
        <v>950</v>
      </c>
      <c r="G995" s="9">
        <f>DATOS!$E995*DATOS!$F995</f>
        <v>24700</v>
      </c>
    </row>
    <row r="996" spans="1:7" x14ac:dyDescent="0.3">
      <c r="A996" s="10">
        <v>41451</v>
      </c>
      <c r="B996" s="9" t="s">
        <v>15</v>
      </c>
      <c r="C996" s="9" t="s">
        <v>27</v>
      </c>
      <c r="D996" s="9" t="s">
        <v>37</v>
      </c>
      <c r="E996" s="9">
        <v>3</v>
      </c>
      <c r="F996" s="9">
        <v>1200</v>
      </c>
      <c r="G996" s="9">
        <f>DATOS!$E996*DATOS!$F996</f>
        <v>3600</v>
      </c>
    </row>
    <row r="997" spans="1:7" x14ac:dyDescent="0.3">
      <c r="A997" s="10">
        <v>41988</v>
      </c>
      <c r="B997" s="9" t="s">
        <v>15</v>
      </c>
      <c r="C997" s="9" t="s">
        <v>27</v>
      </c>
      <c r="D997" s="9" t="s">
        <v>32</v>
      </c>
      <c r="E997" s="9">
        <v>27</v>
      </c>
      <c r="F997" s="9">
        <v>820</v>
      </c>
      <c r="G997" s="9">
        <f>DATOS!$E997*DATOS!$F997</f>
        <v>22140</v>
      </c>
    </row>
    <row r="998" spans="1:7" x14ac:dyDescent="0.3">
      <c r="A998" s="10">
        <v>40782</v>
      </c>
      <c r="B998" s="9" t="s">
        <v>15</v>
      </c>
      <c r="C998" s="9" t="s">
        <v>28</v>
      </c>
      <c r="D998" s="9" t="s">
        <v>32</v>
      </c>
      <c r="E998" s="9">
        <v>8</v>
      </c>
      <c r="F998" s="9">
        <v>950</v>
      </c>
      <c r="G998" s="9">
        <f>DATOS!$E998*DATOS!$F998</f>
        <v>7600</v>
      </c>
    </row>
    <row r="999" spans="1:7" x14ac:dyDescent="0.3">
      <c r="A999" s="10">
        <v>40868</v>
      </c>
      <c r="B999" s="9" t="s">
        <v>15</v>
      </c>
      <c r="C999" s="9" t="s">
        <v>24</v>
      </c>
      <c r="D999" s="9" t="s">
        <v>31</v>
      </c>
      <c r="E999" s="9">
        <v>56</v>
      </c>
      <c r="F999" s="9">
        <v>800</v>
      </c>
      <c r="G999" s="9">
        <f>DATOS!$E999*DATOS!$F999</f>
        <v>44800</v>
      </c>
    </row>
    <row r="1000" spans="1:7" x14ac:dyDescent="0.3">
      <c r="A1000" s="10">
        <v>40477</v>
      </c>
      <c r="B1000" s="9" t="s">
        <v>15</v>
      </c>
      <c r="C1000" s="9" t="s">
        <v>26</v>
      </c>
      <c r="D1000" s="9" t="s">
        <v>32</v>
      </c>
      <c r="E1000" s="9">
        <v>32</v>
      </c>
      <c r="F1000" s="9">
        <v>950</v>
      </c>
      <c r="G1000" s="9">
        <f>DATOS!$E1000*DATOS!$F1000</f>
        <v>30400</v>
      </c>
    </row>
    <row r="1001" spans="1:7" x14ac:dyDescent="0.3">
      <c r="A1001" s="10">
        <v>41797</v>
      </c>
      <c r="B1001" s="9" t="s">
        <v>15</v>
      </c>
      <c r="C1001" s="9" t="s">
        <v>26</v>
      </c>
      <c r="D1001" s="9" t="s">
        <v>31</v>
      </c>
      <c r="E1001" s="9">
        <v>25</v>
      </c>
      <c r="F1001" s="9">
        <v>800</v>
      </c>
      <c r="G1001" s="9">
        <f>DATOS!$E1001*DATOS!$F1001</f>
        <v>20000</v>
      </c>
    </row>
    <row r="1002" spans="1:7" x14ac:dyDescent="0.3">
      <c r="A1002" s="10">
        <v>41882</v>
      </c>
      <c r="B1002" s="9" t="s">
        <v>15</v>
      </c>
      <c r="C1002" s="9" t="s">
        <v>27</v>
      </c>
      <c r="D1002" s="9" t="s">
        <v>33</v>
      </c>
      <c r="E1002" s="9">
        <v>4</v>
      </c>
      <c r="F1002" s="9">
        <v>650</v>
      </c>
      <c r="G1002" s="9">
        <f>DATOS!$E1002*DATOS!$F1002</f>
        <v>2600</v>
      </c>
    </row>
    <row r="1003" spans="1:7" x14ac:dyDescent="0.3">
      <c r="A1003" s="10">
        <v>41883</v>
      </c>
      <c r="B1003" s="9" t="s">
        <v>15</v>
      </c>
      <c r="C1003" s="9" t="s">
        <v>28</v>
      </c>
      <c r="D1003" s="9" t="s">
        <v>37</v>
      </c>
      <c r="E1003" s="9">
        <v>16</v>
      </c>
      <c r="F1003" s="9">
        <v>1200</v>
      </c>
      <c r="G1003" s="9">
        <f>DATOS!$E1003*DATOS!$F1003</f>
        <v>19200</v>
      </c>
    </row>
    <row r="1004" spans="1:7" x14ac:dyDescent="0.3">
      <c r="A1004" s="10">
        <v>41911</v>
      </c>
      <c r="B1004" s="9" t="s">
        <v>15</v>
      </c>
      <c r="C1004" s="9" t="s">
        <v>26</v>
      </c>
      <c r="D1004" s="9" t="s">
        <v>33</v>
      </c>
      <c r="E1004" s="9">
        <v>68</v>
      </c>
      <c r="F1004" s="9">
        <v>650</v>
      </c>
      <c r="G1004" s="9">
        <f>DATOS!$E1004*DATOS!$F1004</f>
        <v>44200</v>
      </c>
    </row>
    <row r="1005" spans="1:7" x14ac:dyDescent="0.3">
      <c r="A1005" s="10">
        <v>40591</v>
      </c>
      <c r="B1005" s="9" t="s">
        <v>15</v>
      </c>
      <c r="C1005" s="9" t="s">
        <v>26</v>
      </c>
      <c r="D1005" s="9" t="s">
        <v>33</v>
      </c>
      <c r="E1005" s="9">
        <v>68</v>
      </c>
      <c r="F1005" s="9">
        <v>650</v>
      </c>
      <c r="G1005" s="9">
        <f>DATOS!$E1005*DATOS!$F1005</f>
        <v>44200</v>
      </c>
    </row>
    <row r="1006" spans="1:7" x14ac:dyDescent="0.3">
      <c r="A1006" s="10">
        <v>40751</v>
      </c>
      <c r="B1006" s="9" t="s">
        <v>15</v>
      </c>
      <c r="C1006" s="9" t="s">
        <v>29</v>
      </c>
      <c r="D1006" s="9" t="s">
        <v>31</v>
      </c>
      <c r="E1006" s="9">
        <v>31</v>
      </c>
      <c r="F1006" s="9">
        <v>800</v>
      </c>
      <c r="G1006" s="9">
        <f>DATOS!$E1006*DATOS!$F1006</f>
        <v>24800</v>
      </c>
    </row>
    <row r="1007" spans="1:7" x14ac:dyDescent="0.3">
      <c r="A1007" s="10">
        <v>41998</v>
      </c>
      <c r="B1007" s="9" t="s">
        <v>15</v>
      </c>
      <c r="C1007" s="9" t="s">
        <v>27</v>
      </c>
      <c r="D1007" s="9" t="s">
        <v>32</v>
      </c>
      <c r="E1007" s="9">
        <v>27</v>
      </c>
      <c r="F1007" s="9">
        <v>950</v>
      </c>
      <c r="G1007" s="9">
        <f>DATOS!$E1007*DATOS!$F1007</f>
        <v>25650</v>
      </c>
    </row>
    <row r="1008" spans="1:7" x14ac:dyDescent="0.3">
      <c r="A1008" s="10">
        <v>40609</v>
      </c>
      <c r="B1008" s="9" t="s">
        <v>15</v>
      </c>
      <c r="C1008" s="9" t="s">
        <v>25</v>
      </c>
      <c r="D1008" s="9" t="s">
        <v>32</v>
      </c>
      <c r="E1008" s="9">
        <v>84</v>
      </c>
      <c r="F1008" s="9">
        <v>950</v>
      </c>
      <c r="G1008" s="9">
        <f>DATOS!$E1008*DATOS!$F1008</f>
        <v>79800</v>
      </c>
    </row>
    <row r="1009" spans="1:7" x14ac:dyDescent="0.3">
      <c r="A1009" s="10">
        <v>40322</v>
      </c>
      <c r="B1009" s="9" t="s">
        <v>15</v>
      </c>
      <c r="C1009" s="9" t="s">
        <v>26</v>
      </c>
      <c r="D1009" s="9" t="s">
        <v>32</v>
      </c>
      <c r="E1009" s="9">
        <v>58</v>
      </c>
      <c r="F1009" s="9">
        <v>820</v>
      </c>
      <c r="G1009" s="9">
        <f>DATOS!$E1009*DATOS!$F1009</f>
        <v>47560</v>
      </c>
    </row>
    <row r="1010" spans="1:7" x14ac:dyDescent="0.3">
      <c r="A1010" s="10">
        <v>41577</v>
      </c>
      <c r="B1010" s="9" t="s">
        <v>15</v>
      </c>
      <c r="C1010" s="9" t="s">
        <v>26</v>
      </c>
      <c r="D1010" s="9" t="s">
        <v>32</v>
      </c>
      <c r="E1010" s="9">
        <v>6</v>
      </c>
      <c r="F1010" s="9">
        <v>820</v>
      </c>
      <c r="G1010" s="9">
        <f>DATOS!$E1010*DATOS!$F1010</f>
        <v>4920</v>
      </c>
    </row>
    <row r="1011" spans="1:7" x14ac:dyDescent="0.3">
      <c r="A1011" s="10">
        <v>40528</v>
      </c>
      <c r="B1011" s="9" t="s">
        <v>15</v>
      </c>
      <c r="C1011" s="9" t="s">
        <v>29</v>
      </c>
      <c r="D1011" s="9" t="s">
        <v>31</v>
      </c>
      <c r="E1011" s="9">
        <v>57</v>
      </c>
      <c r="F1011" s="9">
        <v>800</v>
      </c>
      <c r="G1011" s="9">
        <f>DATOS!$E1011*DATOS!$F1011</f>
        <v>45600</v>
      </c>
    </row>
    <row r="1012" spans="1:7" x14ac:dyDescent="0.3">
      <c r="A1012" s="10">
        <v>40895</v>
      </c>
      <c r="B1012" s="9" t="s">
        <v>15</v>
      </c>
      <c r="C1012" s="9" t="s">
        <v>25</v>
      </c>
      <c r="D1012" s="9" t="s">
        <v>31</v>
      </c>
      <c r="E1012" s="9">
        <v>27</v>
      </c>
      <c r="F1012" s="9">
        <v>800</v>
      </c>
      <c r="G1012" s="9">
        <f>DATOS!$E1012*DATOS!$F1012</f>
        <v>21600</v>
      </c>
    </row>
    <row r="1013" spans="1:7" x14ac:dyDescent="0.3">
      <c r="A1013" s="10">
        <v>40891</v>
      </c>
      <c r="B1013" s="9" t="s">
        <v>15</v>
      </c>
      <c r="C1013" s="9" t="s">
        <v>24</v>
      </c>
      <c r="D1013" s="9" t="s">
        <v>31</v>
      </c>
      <c r="E1013" s="9">
        <v>149</v>
      </c>
      <c r="F1013" s="9">
        <v>800</v>
      </c>
      <c r="G1013" s="9">
        <f>DATOS!$E1013*DATOS!$F1013</f>
        <v>119200</v>
      </c>
    </row>
    <row r="1014" spans="1:7" x14ac:dyDescent="0.3">
      <c r="A1014" s="10">
        <v>41158</v>
      </c>
      <c r="B1014" s="9" t="s">
        <v>15</v>
      </c>
      <c r="C1014" s="9" t="s">
        <v>29</v>
      </c>
      <c r="D1014" s="9" t="s">
        <v>30</v>
      </c>
      <c r="E1014" s="9">
        <v>33</v>
      </c>
      <c r="F1014" s="9">
        <v>450</v>
      </c>
      <c r="G1014" s="9">
        <f>DATOS!$E1014*DATOS!$F1014</f>
        <v>14850</v>
      </c>
    </row>
    <row r="1015" spans="1:7" x14ac:dyDescent="0.3">
      <c r="A1015" s="10">
        <v>41387</v>
      </c>
      <c r="B1015" s="9" t="s">
        <v>15</v>
      </c>
      <c r="C1015" s="9" t="s">
        <v>29</v>
      </c>
      <c r="D1015" s="9" t="s">
        <v>33</v>
      </c>
      <c r="E1015" s="9">
        <v>66</v>
      </c>
      <c r="F1015" s="9">
        <v>650</v>
      </c>
      <c r="G1015" s="9">
        <f>DATOS!$E1015*DATOS!$F1015</f>
        <v>42900</v>
      </c>
    </row>
    <row r="1016" spans="1:7" x14ac:dyDescent="0.3">
      <c r="A1016" s="10">
        <v>41333</v>
      </c>
      <c r="B1016" s="9" t="s">
        <v>15</v>
      </c>
      <c r="C1016" s="9" t="s">
        <v>29</v>
      </c>
      <c r="D1016" s="9" t="s">
        <v>31</v>
      </c>
      <c r="E1016" s="9">
        <v>212</v>
      </c>
      <c r="F1016" s="9">
        <v>800</v>
      </c>
      <c r="G1016" s="9">
        <f>DATOS!$E1016*DATOS!$F1016</f>
        <v>169600</v>
      </c>
    </row>
    <row r="1017" spans="1:7" x14ac:dyDescent="0.3">
      <c r="A1017" s="10">
        <v>41595</v>
      </c>
      <c r="B1017" s="9" t="s">
        <v>15</v>
      </c>
      <c r="C1017" s="9" t="s">
        <v>27</v>
      </c>
      <c r="D1017" s="9" t="s">
        <v>31</v>
      </c>
      <c r="E1017" s="9">
        <v>50</v>
      </c>
      <c r="F1017" s="9">
        <v>800</v>
      </c>
      <c r="G1017" s="9">
        <f>DATOS!$E1017*DATOS!$F1017</f>
        <v>40000</v>
      </c>
    </row>
    <row r="1018" spans="1:7" x14ac:dyDescent="0.3">
      <c r="A1018" s="10">
        <v>41857</v>
      </c>
      <c r="B1018" s="9" t="s">
        <v>15</v>
      </c>
      <c r="C1018" s="9" t="s">
        <v>29</v>
      </c>
      <c r="D1018" s="9" t="s">
        <v>37</v>
      </c>
      <c r="E1018" s="9">
        <v>43</v>
      </c>
      <c r="F1018" s="9">
        <v>1200</v>
      </c>
      <c r="G1018" s="9">
        <f>DATOS!$E1018*DATOS!$F1018</f>
        <v>51600</v>
      </c>
    </row>
    <row r="1019" spans="1:7" x14ac:dyDescent="0.3">
      <c r="A1019" s="10">
        <v>41909</v>
      </c>
      <c r="B1019" s="9" t="s">
        <v>15</v>
      </c>
      <c r="C1019" s="9" t="s">
        <v>29</v>
      </c>
      <c r="D1019" s="9" t="s">
        <v>33</v>
      </c>
      <c r="E1019" s="9">
        <v>5</v>
      </c>
      <c r="F1019" s="9">
        <v>650</v>
      </c>
      <c r="G1019" s="9">
        <f>DATOS!$E1019*DATOS!$F1019</f>
        <v>3250</v>
      </c>
    </row>
    <row r="1020" spans="1:7" x14ac:dyDescent="0.3">
      <c r="A1020" s="10">
        <v>40440</v>
      </c>
      <c r="B1020" s="9" t="s">
        <v>15</v>
      </c>
      <c r="C1020" s="9" t="s">
        <v>24</v>
      </c>
      <c r="D1020" s="9" t="s">
        <v>30</v>
      </c>
      <c r="E1020" s="9">
        <v>36</v>
      </c>
      <c r="F1020" s="9">
        <v>450</v>
      </c>
      <c r="G1020" s="9">
        <f>DATOS!$E1020*DATOS!$F1020</f>
        <v>16200</v>
      </c>
    </row>
    <row r="1021" spans="1:7" x14ac:dyDescent="0.3">
      <c r="A1021" s="10">
        <v>41014</v>
      </c>
      <c r="B1021" s="9" t="s">
        <v>15</v>
      </c>
      <c r="C1021" s="9" t="s">
        <v>28</v>
      </c>
      <c r="D1021" s="9" t="s">
        <v>37</v>
      </c>
      <c r="E1021" s="9">
        <v>14</v>
      </c>
      <c r="F1021" s="9">
        <v>1200</v>
      </c>
      <c r="G1021" s="9">
        <f>DATOS!$E1021*DATOS!$F1021</f>
        <v>16800</v>
      </c>
    </row>
    <row r="1022" spans="1:7" x14ac:dyDescent="0.3">
      <c r="A1022" s="10">
        <v>40548</v>
      </c>
      <c r="B1022" s="9" t="s">
        <v>15</v>
      </c>
      <c r="C1022" s="9" t="s">
        <v>26</v>
      </c>
      <c r="D1022" s="9" t="s">
        <v>31</v>
      </c>
      <c r="E1022" s="9">
        <v>49</v>
      </c>
      <c r="F1022" s="9">
        <v>800</v>
      </c>
      <c r="G1022" s="9">
        <f>DATOS!$E1022*DATOS!$F1022</f>
        <v>39200</v>
      </c>
    </row>
    <row r="1023" spans="1:7" x14ac:dyDescent="0.3">
      <c r="A1023" s="10">
        <v>40560</v>
      </c>
      <c r="B1023" s="9" t="s">
        <v>15</v>
      </c>
      <c r="C1023" s="9" t="s">
        <v>24</v>
      </c>
      <c r="D1023" s="9" t="s">
        <v>32</v>
      </c>
      <c r="E1023" s="9">
        <v>24</v>
      </c>
      <c r="F1023" s="9">
        <v>950</v>
      </c>
      <c r="G1023" s="9">
        <f>DATOS!$E1023*DATOS!$F1023</f>
        <v>22800</v>
      </c>
    </row>
    <row r="1024" spans="1:7" x14ac:dyDescent="0.3">
      <c r="A1024" s="10">
        <v>41321</v>
      </c>
      <c r="B1024" s="9" t="s">
        <v>15</v>
      </c>
      <c r="C1024" s="9" t="s">
        <v>25</v>
      </c>
      <c r="D1024" s="9" t="s">
        <v>32</v>
      </c>
      <c r="E1024" s="9">
        <v>121</v>
      </c>
      <c r="F1024" s="9">
        <v>820</v>
      </c>
      <c r="G1024" s="9">
        <f>DATOS!$E1024*DATOS!$F1024</f>
        <v>99220</v>
      </c>
    </row>
    <row r="1025" spans="1:7" x14ac:dyDescent="0.3">
      <c r="A1025" s="10">
        <v>41729</v>
      </c>
      <c r="B1025" s="9" t="s">
        <v>15</v>
      </c>
      <c r="C1025" s="9" t="s">
        <v>29</v>
      </c>
      <c r="D1025" s="9" t="s">
        <v>30</v>
      </c>
      <c r="E1025" s="9">
        <v>47</v>
      </c>
      <c r="F1025" s="9">
        <v>450</v>
      </c>
      <c r="G1025" s="9">
        <f>DATOS!$E1025*DATOS!$F1025</f>
        <v>21150</v>
      </c>
    </row>
    <row r="1026" spans="1:7" x14ac:dyDescent="0.3">
      <c r="A1026" s="10">
        <v>40715</v>
      </c>
      <c r="B1026" s="9" t="s">
        <v>15</v>
      </c>
      <c r="C1026" s="9" t="s">
        <v>25</v>
      </c>
      <c r="D1026" s="9" t="s">
        <v>32</v>
      </c>
      <c r="E1026" s="9">
        <v>57</v>
      </c>
      <c r="F1026" s="9">
        <v>820</v>
      </c>
      <c r="G1026" s="9">
        <f>DATOS!$E1026*DATOS!$F1026</f>
        <v>46740</v>
      </c>
    </row>
    <row r="1027" spans="1:7" x14ac:dyDescent="0.3">
      <c r="A1027" s="10">
        <v>41331</v>
      </c>
      <c r="B1027" s="9" t="s">
        <v>15</v>
      </c>
      <c r="C1027" s="9" t="s">
        <v>28</v>
      </c>
      <c r="D1027" s="9" t="s">
        <v>33</v>
      </c>
      <c r="E1027" s="9">
        <v>36</v>
      </c>
      <c r="F1027" s="9">
        <v>650</v>
      </c>
      <c r="G1027" s="9">
        <f>DATOS!$E1027*DATOS!$F1027</f>
        <v>23400</v>
      </c>
    </row>
    <row r="1028" spans="1:7" x14ac:dyDescent="0.3">
      <c r="A1028" s="10">
        <v>40944</v>
      </c>
      <c r="B1028" s="9" t="s">
        <v>15</v>
      </c>
      <c r="C1028" s="9" t="s">
        <v>28</v>
      </c>
      <c r="D1028" s="9" t="s">
        <v>32</v>
      </c>
      <c r="E1028" s="9">
        <v>37</v>
      </c>
      <c r="F1028" s="9">
        <v>950</v>
      </c>
      <c r="G1028" s="9">
        <f>DATOS!$E1028*DATOS!$F1028</f>
        <v>35150</v>
      </c>
    </row>
    <row r="1029" spans="1:7" x14ac:dyDescent="0.3">
      <c r="A1029" s="10">
        <v>40409</v>
      </c>
      <c r="B1029" s="9" t="s">
        <v>15</v>
      </c>
      <c r="C1029" s="9" t="s">
        <v>24</v>
      </c>
      <c r="D1029" s="9" t="s">
        <v>31</v>
      </c>
      <c r="E1029" s="9">
        <v>29</v>
      </c>
      <c r="F1029" s="9">
        <v>800</v>
      </c>
      <c r="G1029" s="9">
        <f>DATOS!$E1029*DATOS!$F1029</f>
        <v>23200</v>
      </c>
    </row>
    <row r="1030" spans="1:7" x14ac:dyDescent="0.3">
      <c r="A1030" s="10">
        <v>41005</v>
      </c>
      <c r="B1030" s="9" t="s">
        <v>15</v>
      </c>
      <c r="C1030" s="9" t="s">
        <v>29</v>
      </c>
      <c r="D1030" s="9" t="s">
        <v>32</v>
      </c>
      <c r="E1030" s="9">
        <v>212</v>
      </c>
      <c r="F1030" s="9">
        <v>820</v>
      </c>
      <c r="G1030" s="9">
        <f>DATOS!$E1030*DATOS!$F1030</f>
        <v>173840</v>
      </c>
    </row>
    <row r="1031" spans="1:7" x14ac:dyDescent="0.3">
      <c r="A1031" s="10">
        <v>40661</v>
      </c>
      <c r="B1031" s="9" t="s">
        <v>15</v>
      </c>
      <c r="C1031" s="9" t="s">
        <v>24</v>
      </c>
      <c r="D1031" s="9" t="s">
        <v>31</v>
      </c>
      <c r="E1031" s="9">
        <v>1</v>
      </c>
      <c r="F1031" s="9">
        <v>800</v>
      </c>
      <c r="G1031" s="9">
        <f>DATOS!$E1031*DATOS!$F1031</f>
        <v>800</v>
      </c>
    </row>
    <row r="1032" spans="1:7" x14ac:dyDescent="0.3">
      <c r="A1032" s="10">
        <v>41578</v>
      </c>
      <c r="B1032" s="9" t="s">
        <v>15</v>
      </c>
      <c r="C1032" s="9" t="s">
        <v>24</v>
      </c>
      <c r="D1032" s="9" t="s">
        <v>32</v>
      </c>
      <c r="E1032" s="9">
        <v>53</v>
      </c>
      <c r="F1032" s="9">
        <v>820</v>
      </c>
      <c r="G1032" s="9">
        <f>DATOS!$E1032*DATOS!$F1032</f>
        <v>43460</v>
      </c>
    </row>
    <row r="1033" spans="1:7" x14ac:dyDescent="0.3">
      <c r="A1033" s="10">
        <v>41665</v>
      </c>
      <c r="B1033" s="9" t="s">
        <v>15</v>
      </c>
      <c r="C1033" s="9" t="s">
        <v>26</v>
      </c>
      <c r="D1033" s="9" t="s">
        <v>31</v>
      </c>
      <c r="E1033" s="9">
        <v>133</v>
      </c>
      <c r="F1033" s="9">
        <v>800</v>
      </c>
      <c r="G1033" s="9">
        <f>DATOS!$E1033*DATOS!$F1033</f>
        <v>106400</v>
      </c>
    </row>
    <row r="1034" spans="1:7" x14ac:dyDescent="0.3">
      <c r="A1034" s="10">
        <v>41217</v>
      </c>
      <c r="B1034" s="9" t="s">
        <v>15</v>
      </c>
      <c r="C1034" s="9" t="s">
        <v>24</v>
      </c>
      <c r="D1034" s="9" t="s">
        <v>32</v>
      </c>
      <c r="E1034" s="9">
        <v>122</v>
      </c>
      <c r="F1034" s="9">
        <v>950</v>
      </c>
      <c r="G1034" s="9">
        <f>DATOS!$E1034*DATOS!$F1034</f>
        <v>115900</v>
      </c>
    </row>
    <row r="1035" spans="1:7" x14ac:dyDescent="0.3">
      <c r="A1035" s="10">
        <v>40496</v>
      </c>
      <c r="B1035" s="9" t="s">
        <v>15</v>
      </c>
      <c r="C1035" s="9" t="s">
        <v>26</v>
      </c>
      <c r="D1035" s="9" t="s">
        <v>31</v>
      </c>
      <c r="E1035" s="9">
        <v>23</v>
      </c>
      <c r="F1035" s="9">
        <v>800</v>
      </c>
      <c r="G1035" s="9">
        <f>DATOS!$E1035*DATOS!$F1035</f>
        <v>18400</v>
      </c>
    </row>
    <row r="1036" spans="1:7" x14ac:dyDescent="0.3">
      <c r="A1036" s="10">
        <v>41756</v>
      </c>
      <c r="B1036" s="9" t="s">
        <v>15</v>
      </c>
      <c r="C1036" s="9" t="s">
        <v>24</v>
      </c>
      <c r="D1036" s="9" t="s">
        <v>33</v>
      </c>
      <c r="E1036" s="9">
        <v>13</v>
      </c>
      <c r="F1036" s="9">
        <v>650</v>
      </c>
      <c r="G1036" s="9">
        <f>DATOS!$E1036*DATOS!$F1036</f>
        <v>8450</v>
      </c>
    </row>
    <row r="1037" spans="1:7" x14ac:dyDescent="0.3">
      <c r="A1037" s="10">
        <v>41071</v>
      </c>
      <c r="B1037" s="9" t="s">
        <v>15</v>
      </c>
      <c r="C1037" s="9" t="s">
        <v>24</v>
      </c>
      <c r="D1037" s="9" t="s">
        <v>37</v>
      </c>
      <c r="E1037" s="9">
        <v>9</v>
      </c>
      <c r="F1037" s="9">
        <v>1200</v>
      </c>
      <c r="G1037" s="9">
        <f>DATOS!$E1037*DATOS!$F1037</f>
        <v>10800</v>
      </c>
    </row>
    <row r="1038" spans="1:7" x14ac:dyDescent="0.3">
      <c r="A1038" s="10">
        <v>41336</v>
      </c>
      <c r="B1038" s="9" t="s">
        <v>15</v>
      </c>
      <c r="C1038" s="9" t="s">
        <v>24</v>
      </c>
      <c r="D1038" s="9" t="s">
        <v>31</v>
      </c>
      <c r="E1038" s="9">
        <v>18</v>
      </c>
      <c r="F1038" s="9">
        <v>800</v>
      </c>
      <c r="G1038" s="9">
        <f>DATOS!$E1038*DATOS!$F1038</f>
        <v>14400</v>
      </c>
    </row>
    <row r="1039" spans="1:7" x14ac:dyDescent="0.3">
      <c r="A1039" s="10">
        <v>40493</v>
      </c>
      <c r="B1039" s="9" t="s">
        <v>15</v>
      </c>
      <c r="C1039" s="9" t="s">
        <v>29</v>
      </c>
      <c r="D1039" s="9" t="s">
        <v>31</v>
      </c>
      <c r="E1039" s="9">
        <v>199</v>
      </c>
      <c r="F1039" s="9">
        <v>800</v>
      </c>
      <c r="G1039" s="9">
        <f>DATOS!$E1039*DATOS!$F1039</f>
        <v>159200</v>
      </c>
    </row>
    <row r="1040" spans="1:7" x14ac:dyDescent="0.3">
      <c r="A1040" s="10">
        <v>41637</v>
      </c>
      <c r="B1040" s="9" t="s">
        <v>15</v>
      </c>
      <c r="C1040" s="9" t="s">
        <v>28</v>
      </c>
      <c r="D1040" s="9" t="s">
        <v>31</v>
      </c>
      <c r="E1040" s="9">
        <v>13</v>
      </c>
      <c r="F1040" s="9">
        <v>800</v>
      </c>
      <c r="G1040" s="9">
        <f>DATOS!$E1040*DATOS!$F1040</f>
        <v>10400</v>
      </c>
    </row>
    <row r="1041" spans="1:7" x14ac:dyDescent="0.3">
      <c r="A1041" s="10">
        <v>40393</v>
      </c>
      <c r="B1041" s="9" t="s">
        <v>16</v>
      </c>
      <c r="C1041" s="9" t="s">
        <v>25</v>
      </c>
      <c r="D1041" s="9" t="s">
        <v>32</v>
      </c>
      <c r="E1041" s="9">
        <v>37</v>
      </c>
      <c r="F1041" s="9">
        <v>820</v>
      </c>
      <c r="G1041" s="9">
        <f>DATOS!$E1041*DATOS!$F1041</f>
        <v>30340</v>
      </c>
    </row>
    <row r="1042" spans="1:7" x14ac:dyDescent="0.3">
      <c r="A1042" s="10">
        <v>41275</v>
      </c>
      <c r="B1042" s="9" t="s">
        <v>16</v>
      </c>
      <c r="C1042" s="9" t="s">
        <v>26</v>
      </c>
      <c r="D1042" s="9" t="s">
        <v>30</v>
      </c>
      <c r="E1042" s="9">
        <v>23</v>
      </c>
      <c r="F1042" s="9">
        <v>450</v>
      </c>
      <c r="G1042" s="9">
        <f>DATOS!$E1042*DATOS!$F1042</f>
        <v>10350</v>
      </c>
    </row>
    <row r="1043" spans="1:7" x14ac:dyDescent="0.3">
      <c r="A1043" s="10">
        <v>41767</v>
      </c>
      <c r="B1043" s="9" t="s">
        <v>16</v>
      </c>
      <c r="C1043" s="9" t="s">
        <v>27</v>
      </c>
      <c r="D1043" s="9" t="s">
        <v>31</v>
      </c>
      <c r="E1043" s="9">
        <v>51</v>
      </c>
      <c r="F1043" s="9">
        <v>800</v>
      </c>
      <c r="G1043" s="9">
        <f>DATOS!$E1043*DATOS!$F1043</f>
        <v>40800</v>
      </c>
    </row>
    <row r="1044" spans="1:7" x14ac:dyDescent="0.3">
      <c r="A1044" s="10">
        <v>41354</v>
      </c>
      <c r="B1044" s="9" t="s">
        <v>16</v>
      </c>
      <c r="C1044" s="9" t="s">
        <v>27</v>
      </c>
      <c r="D1044" s="9" t="s">
        <v>31</v>
      </c>
      <c r="E1044" s="9">
        <v>56</v>
      </c>
      <c r="F1044" s="9">
        <v>800</v>
      </c>
      <c r="G1044" s="9">
        <f>DATOS!$E1044*DATOS!$F1044</f>
        <v>44800</v>
      </c>
    </row>
    <row r="1045" spans="1:7" x14ac:dyDescent="0.3">
      <c r="A1045" s="10">
        <v>40744</v>
      </c>
      <c r="B1045" s="9" t="s">
        <v>16</v>
      </c>
      <c r="C1045" s="9" t="s">
        <v>29</v>
      </c>
      <c r="D1045" s="9" t="s">
        <v>32</v>
      </c>
      <c r="E1045" s="9">
        <v>173</v>
      </c>
      <c r="F1045" s="9">
        <v>820</v>
      </c>
      <c r="G1045" s="9">
        <f>DATOS!$E1045*DATOS!$F1045</f>
        <v>141860</v>
      </c>
    </row>
    <row r="1046" spans="1:7" x14ac:dyDescent="0.3">
      <c r="A1046" s="10">
        <v>41662</v>
      </c>
      <c r="B1046" s="9" t="s">
        <v>16</v>
      </c>
      <c r="C1046" s="9" t="s">
        <v>27</v>
      </c>
      <c r="D1046" s="9" t="s">
        <v>37</v>
      </c>
      <c r="E1046" s="9">
        <v>5</v>
      </c>
      <c r="F1046" s="9">
        <v>1200</v>
      </c>
      <c r="G1046" s="9">
        <f>DATOS!$E1046*DATOS!$F1046</f>
        <v>6000</v>
      </c>
    </row>
    <row r="1047" spans="1:7" x14ac:dyDescent="0.3">
      <c r="A1047" s="10">
        <v>40402</v>
      </c>
      <c r="B1047" s="9" t="s">
        <v>16</v>
      </c>
      <c r="C1047" s="9" t="s">
        <v>24</v>
      </c>
      <c r="D1047" s="9" t="s">
        <v>33</v>
      </c>
      <c r="E1047" s="9">
        <v>78</v>
      </c>
      <c r="F1047" s="9">
        <v>650</v>
      </c>
      <c r="G1047" s="9">
        <f>DATOS!$E1047*DATOS!$F1047</f>
        <v>50700</v>
      </c>
    </row>
    <row r="1048" spans="1:7" x14ac:dyDescent="0.3">
      <c r="A1048" s="10">
        <v>41213</v>
      </c>
      <c r="B1048" s="9" t="s">
        <v>16</v>
      </c>
      <c r="C1048" s="9" t="s">
        <v>25</v>
      </c>
      <c r="D1048" s="9" t="s">
        <v>37</v>
      </c>
      <c r="E1048" s="9">
        <v>50</v>
      </c>
      <c r="F1048" s="9">
        <v>1200</v>
      </c>
      <c r="G1048" s="9">
        <f>DATOS!$E1048*DATOS!$F1048</f>
        <v>60000</v>
      </c>
    </row>
    <row r="1049" spans="1:7" x14ac:dyDescent="0.3">
      <c r="A1049" s="10">
        <v>41467</v>
      </c>
      <c r="B1049" s="9" t="s">
        <v>16</v>
      </c>
      <c r="C1049" s="9" t="s">
        <v>28</v>
      </c>
      <c r="D1049" s="9" t="s">
        <v>33</v>
      </c>
      <c r="E1049" s="9">
        <v>5</v>
      </c>
      <c r="F1049" s="9">
        <v>650</v>
      </c>
      <c r="G1049" s="9">
        <f>DATOS!$E1049*DATOS!$F1049</f>
        <v>3250</v>
      </c>
    </row>
    <row r="1050" spans="1:7" x14ac:dyDescent="0.3">
      <c r="A1050" s="10">
        <v>41377</v>
      </c>
      <c r="B1050" s="9" t="s">
        <v>16</v>
      </c>
      <c r="C1050" s="9" t="s">
        <v>27</v>
      </c>
      <c r="D1050" s="9" t="s">
        <v>33</v>
      </c>
      <c r="E1050" s="9">
        <v>23</v>
      </c>
      <c r="F1050" s="9">
        <v>650</v>
      </c>
      <c r="G1050" s="9">
        <f>DATOS!$E1050*DATOS!$F1050</f>
        <v>14950</v>
      </c>
    </row>
    <row r="1051" spans="1:7" x14ac:dyDescent="0.3">
      <c r="A1051" s="10">
        <v>41105</v>
      </c>
      <c r="B1051" s="9" t="s">
        <v>16</v>
      </c>
      <c r="C1051" s="9" t="s">
        <v>26</v>
      </c>
      <c r="D1051" s="9" t="s">
        <v>32</v>
      </c>
      <c r="E1051" s="9">
        <v>62</v>
      </c>
      <c r="F1051" s="9">
        <v>950</v>
      </c>
      <c r="G1051" s="9">
        <f>DATOS!$E1051*DATOS!$F1051</f>
        <v>58900</v>
      </c>
    </row>
    <row r="1052" spans="1:7" x14ac:dyDescent="0.3">
      <c r="A1052" s="10">
        <v>41078</v>
      </c>
      <c r="B1052" s="9" t="s">
        <v>16</v>
      </c>
      <c r="C1052" s="9" t="s">
        <v>29</v>
      </c>
      <c r="D1052" s="9" t="s">
        <v>30</v>
      </c>
      <c r="E1052" s="9">
        <v>44</v>
      </c>
      <c r="F1052" s="9">
        <v>450</v>
      </c>
      <c r="G1052" s="9">
        <f>DATOS!$E1052*DATOS!$F1052</f>
        <v>19800</v>
      </c>
    </row>
    <row r="1053" spans="1:7" x14ac:dyDescent="0.3">
      <c r="A1053" s="10">
        <v>40752</v>
      </c>
      <c r="B1053" s="9" t="s">
        <v>16</v>
      </c>
      <c r="C1053" s="9" t="s">
        <v>24</v>
      </c>
      <c r="D1053" s="9" t="s">
        <v>32</v>
      </c>
      <c r="E1053" s="9">
        <v>29</v>
      </c>
      <c r="F1053" s="9">
        <v>820</v>
      </c>
      <c r="G1053" s="9">
        <f>DATOS!$E1053*DATOS!$F1053</f>
        <v>23780</v>
      </c>
    </row>
    <row r="1054" spans="1:7" x14ac:dyDescent="0.3">
      <c r="A1054" s="10">
        <v>40346</v>
      </c>
      <c r="B1054" s="9" t="s">
        <v>16</v>
      </c>
      <c r="C1054" s="9" t="s">
        <v>26</v>
      </c>
      <c r="D1054" s="9" t="s">
        <v>31</v>
      </c>
      <c r="E1054" s="9">
        <v>35</v>
      </c>
      <c r="F1054" s="9">
        <v>800</v>
      </c>
      <c r="G1054" s="9">
        <f>DATOS!$E1054*DATOS!$F1054</f>
        <v>28000</v>
      </c>
    </row>
    <row r="1055" spans="1:7" x14ac:dyDescent="0.3">
      <c r="A1055" s="10">
        <v>41934</v>
      </c>
      <c r="B1055" s="9" t="s">
        <v>16</v>
      </c>
      <c r="C1055" s="9" t="s">
        <v>25</v>
      </c>
      <c r="D1055" s="9" t="s">
        <v>37</v>
      </c>
      <c r="E1055" s="9">
        <v>42</v>
      </c>
      <c r="F1055" s="9">
        <v>1200</v>
      </c>
      <c r="G1055" s="9">
        <f>DATOS!$E1055*DATOS!$F1055</f>
        <v>50400</v>
      </c>
    </row>
    <row r="1056" spans="1:7" x14ac:dyDescent="0.3">
      <c r="A1056" s="10">
        <v>41047</v>
      </c>
      <c r="B1056" s="9" t="s">
        <v>16</v>
      </c>
      <c r="C1056" s="9" t="s">
        <v>24</v>
      </c>
      <c r="D1056" s="9" t="s">
        <v>37</v>
      </c>
      <c r="E1056" s="9">
        <v>56</v>
      </c>
      <c r="F1056" s="9">
        <v>1200</v>
      </c>
      <c r="G1056" s="9">
        <f>DATOS!$E1056*DATOS!$F1056</f>
        <v>67200</v>
      </c>
    </row>
    <row r="1057" spans="1:7" x14ac:dyDescent="0.3">
      <c r="A1057" s="10">
        <v>41217</v>
      </c>
      <c r="B1057" s="9" t="s">
        <v>16</v>
      </c>
      <c r="C1057" s="9" t="s">
        <v>26</v>
      </c>
      <c r="D1057" s="9" t="s">
        <v>37</v>
      </c>
      <c r="E1057" s="9">
        <v>93</v>
      </c>
      <c r="F1057" s="9">
        <v>1200</v>
      </c>
      <c r="G1057" s="9">
        <f>DATOS!$E1057*DATOS!$F1057</f>
        <v>111600</v>
      </c>
    </row>
    <row r="1058" spans="1:7" x14ac:dyDescent="0.3">
      <c r="A1058" s="10">
        <v>40237</v>
      </c>
      <c r="B1058" s="9" t="s">
        <v>16</v>
      </c>
      <c r="C1058" s="9" t="s">
        <v>29</v>
      </c>
      <c r="D1058" s="9" t="s">
        <v>32</v>
      </c>
      <c r="E1058" s="9">
        <v>22</v>
      </c>
      <c r="F1058" s="9">
        <v>950</v>
      </c>
      <c r="G1058" s="9">
        <f>DATOS!$E1058*DATOS!$F1058</f>
        <v>20900</v>
      </c>
    </row>
    <row r="1059" spans="1:7" x14ac:dyDescent="0.3">
      <c r="A1059" s="10">
        <v>40263</v>
      </c>
      <c r="B1059" s="9" t="s">
        <v>16</v>
      </c>
      <c r="C1059" s="9" t="s">
        <v>27</v>
      </c>
      <c r="D1059" s="9" t="s">
        <v>32</v>
      </c>
      <c r="E1059" s="9">
        <v>1</v>
      </c>
      <c r="F1059" s="9">
        <v>820</v>
      </c>
      <c r="G1059" s="9">
        <f>DATOS!$E1059*DATOS!$F1059</f>
        <v>820</v>
      </c>
    </row>
    <row r="1060" spans="1:7" x14ac:dyDescent="0.3">
      <c r="A1060" s="10">
        <v>41228</v>
      </c>
      <c r="B1060" s="9" t="s">
        <v>16</v>
      </c>
      <c r="C1060" s="9" t="s">
        <v>29</v>
      </c>
      <c r="D1060" s="9" t="s">
        <v>32</v>
      </c>
      <c r="E1060" s="9">
        <v>139</v>
      </c>
      <c r="F1060" s="9">
        <v>820</v>
      </c>
      <c r="G1060" s="9">
        <f>DATOS!$E1060*DATOS!$F1060</f>
        <v>113980</v>
      </c>
    </row>
    <row r="1061" spans="1:7" x14ac:dyDescent="0.3">
      <c r="A1061" s="10">
        <v>41913</v>
      </c>
      <c r="B1061" s="9" t="s">
        <v>16</v>
      </c>
      <c r="C1061" s="9" t="s">
        <v>25</v>
      </c>
      <c r="D1061" s="9" t="s">
        <v>31</v>
      </c>
      <c r="E1061" s="9">
        <v>44</v>
      </c>
      <c r="F1061" s="9">
        <v>800</v>
      </c>
      <c r="G1061" s="9">
        <f>DATOS!$E1061*DATOS!$F1061</f>
        <v>35200</v>
      </c>
    </row>
    <row r="1062" spans="1:7" x14ac:dyDescent="0.3">
      <c r="A1062" s="10">
        <v>40386</v>
      </c>
      <c r="B1062" s="9" t="s">
        <v>16</v>
      </c>
      <c r="C1062" s="9" t="s">
        <v>28</v>
      </c>
      <c r="D1062" s="9" t="s">
        <v>31</v>
      </c>
      <c r="E1062" s="9">
        <v>18</v>
      </c>
      <c r="F1062" s="9">
        <v>800</v>
      </c>
      <c r="G1062" s="9">
        <f>DATOS!$E1062*DATOS!$F1062</f>
        <v>14400</v>
      </c>
    </row>
    <row r="1063" spans="1:7" x14ac:dyDescent="0.3">
      <c r="A1063" s="10">
        <v>41996</v>
      </c>
      <c r="B1063" s="9" t="s">
        <v>16</v>
      </c>
      <c r="C1063" s="9" t="s">
        <v>28</v>
      </c>
      <c r="D1063" s="9" t="s">
        <v>37</v>
      </c>
      <c r="E1063" s="9">
        <v>5</v>
      </c>
      <c r="F1063" s="9">
        <v>1200</v>
      </c>
      <c r="G1063" s="9">
        <f>DATOS!$E1063*DATOS!$F1063</f>
        <v>6000</v>
      </c>
    </row>
    <row r="1064" spans="1:7" x14ac:dyDescent="0.3">
      <c r="A1064" s="10">
        <v>41649</v>
      </c>
      <c r="B1064" s="9" t="s">
        <v>16</v>
      </c>
      <c r="C1064" s="9" t="s">
        <v>28</v>
      </c>
      <c r="D1064" s="9" t="s">
        <v>37</v>
      </c>
      <c r="E1064" s="9">
        <v>1</v>
      </c>
      <c r="F1064" s="9">
        <v>1200</v>
      </c>
      <c r="G1064" s="9">
        <f>DATOS!$E1064*DATOS!$F1064</f>
        <v>1200</v>
      </c>
    </row>
    <row r="1065" spans="1:7" x14ac:dyDescent="0.3">
      <c r="A1065" s="10">
        <v>40404</v>
      </c>
      <c r="B1065" s="9" t="s">
        <v>16</v>
      </c>
      <c r="C1065" s="9" t="s">
        <v>26</v>
      </c>
      <c r="D1065" s="9" t="s">
        <v>31</v>
      </c>
      <c r="E1065" s="9">
        <v>58</v>
      </c>
      <c r="F1065" s="9">
        <v>800</v>
      </c>
      <c r="G1065" s="9">
        <f>DATOS!$E1065*DATOS!$F1065</f>
        <v>46400</v>
      </c>
    </row>
    <row r="1066" spans="1:7" x14ac:dyDescent="0.3">
      <c r="A1066" s="10">
        <v>41849</v>
      </c>
      <c r="B1066" s="9" t="s">
        <v>16</v>
      </c>
      <c r="C1066" s="9" t="s">
        <v>29</v>
      </c>
      <c r="D1066" s="9" t="s">
        <v>31</v>
      </c>
      <c r="E1066" s="9">
        <v>15</v>
      </c>
      <c r="F1066" s="9">
        <v>800</v>
      </c>
      <c r="G1066" s="9">
        <f>DATOS!$E1066*DATOS!$F1066</f>
        <v>12000</v>
      </c>
    </row>
    <row r="1067" spans="1:7" x14ac:dyDescent="0.3">
      <c r="A1067" s="10">
        <v>40529</v>
      </c>
      <c r="B1067" s="9" t="s">
        <v>16</v>
      </c>
      <c r="C1067" s="9" t="s">
        <v>24</v>
      </c>
      <c r="D1067" s="9" t="s">
        <v>32</v>
      </c>
      <c r="E1067" s="9">
        <v>28</v>
      </c>
      <c r="F1067" s="9">
        <v>820</v>
      </c>
      <c r="G1067" s="9">
        <f>DATOS!$E1067*DATOS!$F1067</f>
        <v>22960</v>
      </c>
    </row>
    <row r="1068" spans="1:7" x14ac:dyDescent="0.3">
      <c r="A1068" s="10">
        <v>40542</v>
      </c>
      <c r="B1068" s="9" t="s">
        <v>16</v>
      </c>
      <c r="C1068" s="9" t="s">
        <v>29</v>
      </c>
      <c r="D1068" s="9" t="s">
        <v>31</v>
      </c>
      <c r="E1068" s="9">
        <v>97</v>
      </c>
      <c r="F1068" s="9">
        <v>800</v>
      </c>
      <c r="G1068" s="9">
        <f>DATOS!$E1068*DATOS!$F1068</f>
        <v>77600</v>
      </c>
    </row>
    <row r="1069" spans="1:7" x14ac:dyDescent="0.3">
      <c r="A1069" s="10">
        <v>41127</v>
      </c>
      <c r="B1069" s="9" t="s">
        <v>16</v>
      </c>
      <c r="C1069" s="9" t="s">
        <v>25</v>
      </c>
      <c r="D1069" s="9" t="s">
        <v>31</v>
      </c>
      <c r="E1069" s="9">
        <v>211</v>
      </c>
      <c r="F1069" s="9">
        <v>800</v>
      </c>
      <c r="G1069" s="9">
        <f>DATOS!$E1069*DATOS!$F1069</f>
        <v>168800</v>
      </c>
    </row>
    <row r="1070" spans="1:7" x14ac:dyDescent="0.3">
      <c r="A1070" s="10">
        <v>40584</v>
      </c>
      <c r="B1070" s="9" t="s">
        <v>16</v>
      </c>
      <c r="C1070" s="9" t="s">
        <v>24</v>
      </c>
      <c r="D1070" s="9" t="s">
        <v>32</v>
      </c>
      <c r="E1070" s="9">
        <v>3</v>
      </c>
      <c r="F1070" s="9">
        <v>820</v>
      </c>
      <c r="G1070" s="9">
        <f>DATOS!$E1070*DATOS!$F1070</f>
        <v>2460</v>
      </c>
    </row>
    <row r="1071" spans="1:7" x14ac:dyDescent="0.3">
      <c r="A1071" s="10">
        <v>41798</v>
      </c>
      <c r="B1071" s="9" t="s">
        <v>16</v>
      </c>
      <c r="C1071" s="9" t="s">
        <v>25</v>
      </c>
      <c r="D1071" s="9" t="s">
        <v>37</v>
      </c>
      <c r="E1071" s="9">
        <v>81</v>
      </c>
      <c r="F1071" s="9">
        <v>1200</v>
      </c>
      <c r="G1071" s="9">
        <f>DATOS!$E1071*DATOS!$F1071</f>
        <v>97200</v>
      </c>
    </row>
    <row r="1072" spans="1:7" x14ac:dyDescent="0.3">
      <c r="A1072" s="10">
        <v>40872</v>
      </c>
      <c r="B1072" s="9" t="s">
        <v>16</v>
      </c>
      <c r="C1072" s="9" t="s">
        <v>24</v>
      </c>
      <c r="D1072" s="9" t="s">
        <v>32</v>
      </c>
      <c r="E1072" s="9">
        <v>79</v>
      </c>
      <c r="F1072" s="9">
        <v>820</v>
      </c>
      <c r="G1072" s="9">
        <f>DATOS!$E1072*DATOS!$F1072</f>
        <v>64780</v>
      </c>
    </row>
    <row r="1073" spans="1:7" x14ac:dyDescent="0.3">
      <c r="A1073" s="10">
        <v>40884</v>
      </c>
      <c r="B1073" s="9" t="s">
        <v>16</v>
      </c>
      <c r="C1073" s="9" t="s">
        <v>24</v>
      </c>
      <c r="D1073" s="9" t="s">
        <v>31</v>
      </c>
      <c r="E1073" s="9">
        <v>52</v>
      </c>
      <c r="F1073" s="9">
        <v>800</v>
      </c>
      <c r="G1073" s="9">
        <f>DATOS!$E1073*DATOS!$F1073</f>
        <v>41600</v>
      </c>
    </row>
    <row r="1074" spans="1:7" x14ac:dyDescent="0.3">
      <c r="A1074" s="10">
        <v>40495</v>
      </c>
      <c r="B1074" s="9" t="s">
        <v>16</v>
      </c>
      <c r="C1074" s="9" t="s">
        <v>25</v>
      </c>
      <c r="D1074" s="9" t="s">
        <v>31</v>
      </c>
      <c r="E1074" s="9">
        <v>1</v>
      </c>
      <c r="F1074" s="9">
        <v>800</v>
      </c>
      <c r="G1074" s="9">
        <f>DATOS!$E1074*DATOS!$F1074</f>
        <v>800</v>
      </c>
    </row>
    <row r="1075" spans="1:7" x14ac:dyDescent="0.3">
      <c r="A1075" s="10">
        <v>41697</v>
      </c>
      <c r="B1075" s="9" t="s">
        <v>16</v>
      </c>
      <c r="C1075" s="9" t="s">
        <v>24</v>
      </c>
      <c r="D1075" s="9" t="s">
        <v>33</v>
      </c>
      <c r="E1075" s="9">
        <v>6</v>
      </c>
      <c r="F1075" s="9">
        <v>650</v>
      </c>
      <c r="G1075" s="9">
        <f>DATOS!$E1075*DATOS!$F1075</f>
        <v>3900</v>
      </c>
    </row>
    <row r="1076" spans="1:7" x14ac:dyDescent="0.3">
      <c r="A1076" s="10">
        <v>40893</v>
      </c>
      <c r="B1076" s="9" t="s">
        <v>16</v>
      </c>
      <c r="C1076" s="9" t="s">
        <v>25</v>
      </c>
      <c r="D1076" s="9" t="s">
        <v>32</v>
      </c>
      <c r="E1076" s="9">
        <v>25</v>
      </c>
      <c r="F1076" s="9">
        <v>820</v>
      </c>
      <c r="G1076" s="9">
        <f>DATOS!$E1076*DATOS!$F1076</f>
        <v>20500</v>
      </c>
    </row>
    <row r="1077" spans="1:7" x14ac:dyDescent="0.3">
      <c r="A1077" s="10">
        <v>41419</v>
      </c>
      <c r="B1077" s="9" t="s">
        <v>16</v>
      </c>
      <c r="C1077" s="9" t="s">
        <v>25</v>
      </c>
      <c r="D1077" s="9" t="s">
        <v>31</v>
      </c>
      <c r="E1077" s="9">
        <v>115</v>
      </c>
      <c r="F1077" s="9">
        <v>800</v>
      </c>
      <c r="G1077" s="9">
        <f>DATOS!$E1077*DATOS!$F1077</f>
        <v>92000</v>
      </c>
    </row>
    <row r="1078" spans="1:7" x14ac:dyDescent="0.3">
      <c r="A1078" s="10">
        <v>40301</v>
      </c>
      <c r="B1078" s="9" t="s">
        <v>16</v>
      </c>
      <c r="C1078" s="9" t="s">
        <v>26</v>
      </c>
      <c r="D1078" s="9" t="s">
        <v>32</v>
      </c>
      <c r="E1078" s="9">
        <v>1</v>
      </c>
      <c r="F1078" s="9">
        <v>820</v>
      </c>
      <c r="G1078" s="9">
        <f>DATOS!$E1078*DATOS!$F1078</f>
        <v>820</v>
      </c>
    </row>
    <row r="1079" spans="1:7" x14ac:dyDescent="0.3">
      <c r="A1079" s="10">
        <v>41313</v>
      </c>
      <c r="B1079" s="9" t="s">
        <v>16</v>
      </c>
      <c r="C1079" s="9" t="s">
        <v>27</v>
      </c>
      <c r="D1079" s="9" t="s">
        <v>32</v>
      </c>
      <c r="E1079" s="9">
        <v>55</v>
      </c>
      <c r="F1079" s="9">
        <v>950</v>
      </c>
      <c r="G1079" s="9">
        <f>DATOS!$E1079*DATOS!$F1079</f>
        <v>52250</v>
      </c>
    </row>
    <row r="1080" spans="1:7" x14ac:dyDescent="0.3">
      <c r="A1080" s="10">
        <v>40940</v>
      </c>
      <c r="B1080" s="9" t="s">
        <v>16</v>
      </c>
      <c r="C1080" s="9" t="s">
        <v>28</v>
      </c>
      <c r="D1080" s="9" t="s">
        <v>32</v>
      </c>
      <c r="E1080" s="9">
        <v>4</v>
      </c>
      <c r="F1080" s="9">
        <v>950</v>
      </c>
      <c r="G1080" s="9">
        <f>DATOS!$E1080*DATOS!$F1080</f>
        <v>3800</v>
      </c>
    </row>
    <row r="1081" spans="1:7" x14ac:dyDescent="0.3">
      <c r="A1081" s="10">
        <v>41016</v>
      </c>
      <c r="B1081" s="9" t="s">
        <v>16</v>
      </c>
      <c r="C1081" s="9" t="s">
        <v>27</v>
      </c>
      <c r="D1081" s="9" t="s">
        <v>33</v>
      </c>
      <c r="E1081" s="9">
        <v>21</v>
      </c>
      <c r="F1081" s="9">
        <v>650</v>
      </c>
      <c r="G1081" s="9">
        <f>DATOS!$E1081*DATOS!$F1081</f>
        <v>13650</v>
      </c>
    </row>
    <row r="1082" spans="1:7" x14ac:dyDescent="0.3">
      <c r="A1082" s="10">
        <v>41981</v>
      </c>
      <c r="B1082" s="9" t="s">
        <v>16</v>
      </c>
      <c r="C1082" s="9" t="s">
        <v>25</v>
      </c>
      <c r="D1082" s="9" t="s">
        <v>37</v>
      </c>
      <c r="E1082" s="9">
        <v>14</v>
      </c>
      <c r="F1082" s="9">
        <v>1200</v>
      </c>
      <c r="G1082" s="9">
        <f>DATOS!$E1082*DATOS!$F1082</f>
        <v>16800</v>
      </c>
    </row>
    <row r="1083" spans="1:7" x14ac:dyDescent="0.3">
      <c r="A1083" s="10">
        <v>41695</v>
      </c>
      <c r="B1083" s="9" t="s">
        <v>16</v>
      </c>
      <c r="C1083" s="9" t="s">
        <v>25</v>
      </c>
      <c r="D1083" s="9" t="s">
        <v>32</v>
      </c>
      <c r="E1083" s="9">
        <v>144</v>
      </c>
      <c r="F1083" s="9">
        <v>820</v>
      </c>
      <c r="G1083" s="9">
        <f>DATOS!$E1083*DATOS!$F1083</f>
        <v>118080</v>
      </c>
    </row>
    <row r="1084" spans="1:7" x14ac:dyDescent="0.3">
      <c r="A1084" s="10">
        <v>40668</v>
      </c>
      <c r="B1084" s="9" t="s">
        <v>16</v>
      </c>
      <c r="C1084" s="9" t="s">
        <v>29</v>
      </c>
      <c r="D1084" s="9" t="s">
        <v>37</v>
      </c>
      <c r="E1084" s="9">
        <v>173</v>
      </c>
      <c r="F1084" s="9">
        <v>1200</v>
      </c>
      <c r="G1084" s="9">
        <f>DATOS!$E1084*DATOS!$F1084</f>
        <v>207600</v>
      </c>
    </row>
    <row r="1085" spans="1:7" x14ac:dyDescent="0.3">
      <c r="A1085" s="10">
        <v>40376</v>
      </c>
      <c r="B1085" s="9" t="s">
        <v>16</v>
      </c>
      <c r="C1085" s="9" t="s">
        <v>25</v>
      </c>
      <c r="D1085" s="9" t="s">
        <v>30</v>
      </c>
      <c r="E1085" s="9">
        <v>98</v>
      </c>
      <c r="F1085" s="9">
        <v>450</v>
      </c>
      <c r="G1085" s="9">
        <f>DATOS!$E1085*DATOS!$F1085</f>
        <v>44100</v>
      </c>
    </row>
    <row r="1086" spans="1:7" x14ac:dyDescent="0.3">
      <c r="A1086" s="10">
        <v>41936</v>
      </c>
      <c r="B1086" s="9" t="s">
        <v>16</v>
      </c>
      <c r="C1086" s="9" t="s">
        <v>24</v>
      </c>
      <c r="D1086" s="9" t="s">
        <v>31</v>
      </c>
      <c r="E1086" s="9">
        <v>35</v>
      </c>
      <c r="F1086" s="9">
        <v>800</v>
      </c>
      <c r="G1086" s="9">
        <f>DATOS!$E1086*DATOS!$F1086</f>
        <v>28000</v>
      </c>
    </row>
    <row r="1087" spans="1:7" x14ac:dyDescent="0.3">
      <c r="A1087" s="10">
        <v>40441</v>
      </c>
      <c r="B1087" s="9" t="s">
        <v>16</v>
      </c>
      <c r="C1087" s="9" t="s">
        <v>28</v>
      </c>
      <c r="D1087" s="9" t="s">
        <v>32</v>
      </c>
      <c r="E1087" s="9">
        <v>43</v>
      </c>
      <c r="F1087" s="9">
        <v>820</v>
      </c>
      <c r="G1087" s="9">
        <f>DATOS!$E1087*DATOS!$F1087</f>
        <v>35260</v>
      </c>
    </row>
    <row r="1088" spans="1:7" x14ac:dyDescent="0.3">
      <c r="A1088" s="10">
        <v>40460</v>
      </c>
      <c r="B1088" s="9" t="s">
        <v>16</v>
      </c>
      <c r="C1088" s="9" t="s">
        <v>28</v>
      </c>
      <c r="D1088" s="9" t="s">
        <v>32</v>
      </c>
      <c r="E1088" s="9">
        <v>1</v>
      </c>
      <c r="F1088" s="9">
        <v>820</v>
      </c>
      <c r="G1088" s="9">
        <f>DATOS!$E1088*DATOS!$F1088</f>
        <v>820</v>
      </c>
    </row>
    <row r="1089" spans="1:7" x14ac:dyDescent="0.3">
      <c r="A1089" s="10">
        <v>41500</v>
      </c>
      <c r="B1089" s="9" t="s">
        <v>17</v>
      </c>
      <c r="C1089" s="9" t="s">
        <v>25</v>
      </c>
      <c r="D1089" s="9" t="s">
        <v>37</v>
      </c>
      <c r="E1089" s="9">
        <v>114</v>
      </c>
      <c r="F1089" s="9">
        <v>1200</v>
      </c>
      <c r="G1089" s="9">
        <f>DATOS!$E1089*DATOS!$F1089</f>
        <v>136800</v>
      </c>
    </row>
    <row r="1090" spans="1:7" x14ac:dyDescent="0.3">
      <c r="A1090" s="10">
        <v>41319</v>
      </c>
      <c r="B1090" s="9" t="s">
        <v>17</v>
      </c>
      <c r="C1090" s="9" t="s">
        <v>25</v>
      </c>
      <c r="D1090" s="9" t="s">
        <v>31</v>
      </c>
      <c r="E1090" s="9">
        <v>47</v>
      </c>
      <c r="F1090" s="9">
        <v>800</v>
      </c>
      <c r="G1090" s="9">
        <f>DATOS!$E1090*DATOS!$F1090</f>
        <v>37600</v>
      </c>
    </row>
    <row r="1091" spans="1:7" x14ac:dyDescent="0.3">
      <c r="A1091" s="10">
        <v>41467</v>
      </c>
      <c r="B1091" s="9" t="s">
        <v>17</v>
      </c>
      <c r="C1091" s="9" t="s">
        <v>27</v>
      </c>
      <c r="D1091" s="9" t="s">
        <v>32</v>
      </c>
      <c r="E1091" s="9">
        <v>79</v>
      </c>
      <c r="F1091" s="9">
        <v>820</v>
      </c>
      <c r="G1091" s="9">
        <f>DATOS!$E1091*DATOS!$F1091</f>
        <v>64780</v>
      </c>
    </row>
    <row r="1092" spans="1:7" x14ac:dyDescent="0.3">
      <c r="A1092" s="10">
        <v>40416</v>
      </c>
      <c r="B1092" s="9" t="s">
        <v>17</v>
      </c>
      <c r="C1092" s="9" t="s">
        <v>29</v>
      </c>
      <c r="D1092" s="9" t="s">
        <v>30</v>
      </c>
      <c r="E1092" s="9">
        <v>31</v>
      </c>
      <c r="F1092" s="9">
        <v>450</v>
      </c>
      <c r="G1092" s="9">
        <f>DATOS!$E1092*DATOS!$F1092</f>
        <v>13950</v>
      </c>
    </row>
    <row r="1093" spans="1:7" x14ac:dyDescent="0.3">
      <c r="A1093" s="10">
        <v>41183</v>
      </c>
      <c r="B1093" s="9" t="s">
        <v>17</v>
      </c>
      <c r="C1093" s="9" t="s">
        <v>27</v>
      </c>
      <c r="D1093" s="9" t="s">
        <v>31</v>
      </c>
      <c r="E1093" s="9">
        <v>10</v>
      </c>
      <c r="F1093" s="9">
        <v>800</v>
      </c>
      <c r="G1093" s="9">
        <f>DATOS!$E1093*DATOS!$F1093</f>
        <v>8000</v>
      </c>
    </row>
    <row r="1094" spans="1:7" x14ac:dyDescent="0.3">
      <c r="A1094" s="10">
        <v>40443</v>
      </c>
      <c r="B1094" s="9" t="s">
        <v>17</v>
      </c>
      <c r="C1094" s="9" t="s">
        <v>27</v>
      </c>
      <c r="D1094" s="9" t="s">
        <v>32</v>
      </c>
      <c r="E1094" s="9">
        <v>3</v>
      </c>
      <c r="F1094" s="9">
        <v>820</v>
      </c>
      <c r="G1094" s="9">
        <f>DATOS!$E1094*DATOS!$F1094</f>
        <v>2460</v>
      </c>
    </row>
    <row r="1095" spans="1:7" x14ac:dyDescent="0.3">
      <c r="A1095" s="10">
        <v>41854</v>
      </c>
      <c r="B1095" s="9" t="s">
        <v>17</v>
      </c>
      <c r="C1095" s="9" t="s">
        <v>25</v>
      </c>
      <c r="D1095" s="9" t="s">
        <v>37</v>
      </c>
      <c r="E1095" s="9">
        <v>129</v>
      </c>
      <c r="F1095" s="9">
        <v>1200</v>
      </c>
      <c r="G1095" s="9">
        <f>DATOS!$E1095*DATOS!$F1095</f>
        <v>154800</v>
      </c>
    </row>
    <row r="1096" spans="1:7" x14ac:dyDescent="0.3">
      <c r="A1096" s="10">
        <v>41913</v>
      </c>
      <c r="B1096" s="9" t="s">
        <v>17</v>
      </c>
      <c r="C1096" s="9" t="s">
        <v>24</v>
      </c>
      <c r="D1096" s="9" t="s">
        <v>32</v>
      </c>
      <c r="E1096" s="9">
        <v>2</v>
      </c>
      <c r="F1096" s="9">
        <v>820</v>
      </c>
      <c r="G1096" s="9">
        <f>DATOS!$E1096*DATOS!$F1096</f>
        <v>1640</v>
      </c>
    </row>
    <row r="1097" spans="1:7" x14ac:dyDescent="0.3">
      <c r="A1097" s="10">
        <v>40324</v>
      </c>
      <c r="B1097" s="9" t="s">
        <v>17</v>
      </c>
      <c r="C1097" s="9" t="s">
        <v>27</v>
      </c>
      <c r="D1097" s="9" t="s">
        <v>32</v>
      </c>
      <c r="E1097" s="9">
        <v>2</v>
      </c>
      <c r="F1097" s="9">
        <v>950</v>
      </c>
      <c r="G1097" s="9">
        <f>DATOS!$E1097*DATOS!$F1097</f>
        <v>1900</v>
      </c>
    </row>
    <row r="1098" spans="1:7" x14ac:dyDescent="0.3">
      <c r="A1098" s="10">
        <v>40853</v>
      </c>
      <c r="B1098" s="9" t="s">
        <v>17</v>
      </c>
      <c r="C1098" s="9" t="s">
        <v>28</v>
      </c>
      <c r="D1098" s="9" t="s">
        <v>37</v>
      </c>
      <c r="E1098" s="9">
        <v>9</v>
      </c>
      <c r="F1098" s="9">
        <v>1200</v>
      </c>
      <c r="G1098" s="9">
        <f>DATOS!$E1098*DATOS!$F1098</f>
        <v>10800</v>
      </c>
    </row>
    <row r="1099" spans="1:7" x14ac:dyDescent="0.3">
      <c r="A1099" s="10">
        <v>41990</v>
      </c>
      <c r="B1099" s="9" t="s">
        <v>17</v>
      </c>
      <c r="C1099" s="9" t="s">
        <v>28</v>
      </c>
      <c r="D1099" s="9" t="s">
        <v>33</v>
      </c>
      <c r="E1099" s="9">
        <v>17</v>
      </c>
      <c r="F1099" s="9">
        <v>650</v>
      </c>
      <c r="G1099" s="9">
        <f>DATOS!$E1099*DATOS!$F1099</f>
        <v>11050</v>
      </c>
    </row>
    <row r="1100" spans="1:7" x14ac:dyDescent="0.3">
      <c r="A1100" s="10">
        <v>41807</v>
      </c>
      <c r="B1100" s="9" t="s">
        <v>17</v>
      </c>
      <c r="C1100" s="9" t="s">
        <v>29</v>
      </c>
      <c r="D1100" s="9" t="s">
        <v>33</v>
      </c>
      <c r="E1100" s="9">
        <v>39</v>
      </c>
      <c r="F1100" s="9">
        <v>650</v>
      </c>
      <c r="G1100" s="9">
        <f>DATOS!$E1100*DATOS!$F1100</f>
        <v>25350</v>
      </c>
    </row>
    <row r="1101" spans="1:7" x14ac:dyDescent="0.3">
      <c r="A1101" s="10">
        <v>40561</v>
      </c>
      <c r="B1101" s="9" t="s">
        <v>17</v>
      </c>
      <c r="C1101" s="9" t="s">
        <v>28</v>
      </c>
      <c r="D1101" s="9" t="s">
        <v>32</v>
      </c>
      <c r="E1101" s="9">
        <v>13</v>
      </c>
      <c r="F1101" s="9">
        <v>820</v>
      </c>
      <c r="G1101" s="9">
        <f>DATOS!$E1101*DATOS!$F1101</f>
        <v>10660</v>
      </c>
    </row>
    <row r="1102" spans="1:7" x14ac:dyDescent="0.3">
      <c r="A1102" s="10">
        <v>41532</v>
      </c>
      <c r="B1102" s="9" t="s">
        <v>17</v>
      </c>
      <c r="C1102" s="9" t="s">
        <v>24</v>
      </c>
      <c r="D1102" s="9" t="s">
        <v>31</v>
      </c>
      <c r="E1102" s="9">
        <v>28</v>
      </c>
      <c r="F1102" s="9">
        <v>800</v>
      </c>
      <c r="G1102" s="9">
        <f>DATOS!$E1102*DATOS!$F1102</f>
        <v>22400</v>
      </c>
    </row>
    <row r="1103" spans="1:7" x14ac:dyDescent="0.3">
      <c r="A1103" s="10">
        <v>41825</v>
      </c>
      <c r="B1103" s="9" t="s">
        <v>17</v>
      </c>
      <c r="C1103" s="9" t="s">
        <v>27</v>
      </c>
      <c r="D1103" s="9" t="s">
        <v>33</v>
      </c>
      <c r="E1103" s="9">
        <v>30</v>
      </c>
      <c r="F1103" s="9">
        <v>650</v>
      </c>
      <c r="G1103" s="9">
        <f>DATOS!$E1103*DATOS!$F1103</f>
        <v>19500</v>
      </c>
    </row>
    <row r="1104" spans="1:7" x14ac:dyDescent="0.3">
      <c r="A1104" s="10">
        <v>40696</v>
      </c>
      <c r="B1104" s="9" t="s">
        <v>17</v>
      </c>
      <c r="C1104" s="9" t="s">
        <v>26</v>
      </c>
      <c r="D1104" s="9" t="s">
        <v>31</v>
      </c>
      <c r="E1104" s="9">
        <v>3</v>
      </c>
      <c r="F1104" s="9">
        <v>800</v>
      </c>
      <c r="G1104" s="9">
        <f>DATOS!$E1104*DATOS!$F1104</f>
        <v>2400</v>
      </c>
    </row>
    <row r="1105" spans="1:7" x14ac:dyDescent="0.3">
      <c r="A1105" s="10">
        <v>41045</v>
      </c>
      <c r="B1105" s="9" t="s">
        <v>17</v>
      </c>
      <c r="C1105" s="9" t="s">
        <v>28</v>
      </c>
      <c r="D1105" s="9" t="s">
        <v>32</v>
      </c>
      <c r="E1105" s="9">
        <v>6</v>
      </c>
      <c r="F1105" s="9">
        <v>950</v>
      </c>
      <c r="G1105" s="9">
        <f>DATOS!$E1105*DATOS!$F1105</f>
        <v>5700</v>
      </c>
    </row>
    <row r="1106" spans="1:7" x14ac:dyDescent="0.3">
      <c r="A1106" s="10">
        <v>40978</v>
      </c>
      <c r="B1106" s="9" t="s">
        <v>17</v>
      </c>
      <c r="C1106" s="9" t="s">
        <v>29</v>
      </c>
      <c r="D1106" s="9" t="s">
        <v>32</v>
      </c>
      <c r="E1106" s="9">
        <v>41</v>
      </c>
      <c r="F1106" s="9">
        <v>950</v>
      </c>
      <c r="G1106" s="9">
        <f>DATOS!$E1106*DATOS!$F1106</f>
        <v>38950</v>
      </c>
    </row>
    <row r="1107" spans="1:7" x14ac:dyDescent="0.3">
      <c r="A1107" s="10">
        <v>41236</v>
      </c>
      <c r="B1107" s="9" t="s">
        <v>17</v>
      </c>
      <c r="C1107" s="9" t="s">
        <v>24</v>
      </c>
      <c r="D1107" s="9" t="s">
        <v>31</v>
      </c>
      <c r="E1107" s="9">
        <v>8</v>
      </c>
      <c r="F1107" s="9">
        <v>800</v>
      </c>
      <c r="G1107" s="9">
        <f>DATOS!$E1107*DATOS!$F1107</f>
        <v>6400</v>
      </c>
    </row>
    <row r="1108" spans="1:7" x14ac:dyDescent="0.3">
      <c r="A1108" s="10">
        <v>41947</v>
      </c>
      <c r="B1108" s="9" t="s">
        <v>17</v>
      </c>
      <c r="C1108" s="9" t="s">
        <v>25</v>
      </c>
      <c r="D1108" s="9" t="s">
        <v>33</v>
      </c>
      <c r="E1108" s="9">
        <v>82</v>
      </c>
      <c r="F1108" s="9">
        <v>650</v>
      </c>
      <c r="G1108" s="9">
        <f>DATOS!$E1108*DATOS!$F1108</f>
        <v>53300</v>
      </c>
    </row>
    <row r="1109" spans="1:7" x14ac:dyDescent="0.3">
      <c r="A1109" s="10">
        <v>41971</v>
      </c>
      <c r="B1109" s="9" t="s">
        <v>17</v>
      </c>
      <c r="C1109" s="9" t="s">
        <v>25</v>
      </c>
      <c r="D1109" s="9" t="s">
        <v>32</v>
      </c>
      <c r="E1109" s="9">
        <v>44</v>
      </c>
      <c r="F1109" s="9">
        <v>820</v>
      </c>
      <c r="G1109" s="9">
        <f>DATOS!$E1109*DATOS!$F1109</f>
        <v>36080</v>
      </c>
    </row>
    <row r="1110" spans="1:7" x14ac:dyDescent="0.3">
      <c r="A1110" s="10">
        <v>41162</v>
      </c>
      <c r="B1110" s="9" t="s">
        <v>17</v>
      </c>
      <c r="C1110" s="9" t="s">
        <v>28</v>
      </c>
      <c r="D1110" s="9" t="s">
        <v>30</v>
      </c>
      <c r="E1110" s="9">
        <v>4</v>
      </c>
      <c r="F1110" s="9">
        <v>450</v>
      </c>
      <c r="G1110" s="9">
        <f>DATOS!$E1110*DATOS!$F1110</f>
        <v>1800</v>
      </c>
    </row>
    <row r="1111" spans="1:7" x14ac:dyDescent="0.3">
      <c r="A1111" s="10">
        <v>40879</v>
      </c>
      <c r="B1111" s="9" t="s">
        <v>17</v>
      </c>
      <c r="C1111" s="9" t="s">
        <v>29</v>
      </c>
      <c r="D1111" s="9" t="s">
        <v>31</v>
      </c>
      <c r="E1111" s="9">
        <v>12</v>
      </c>
      <c r="F1111" s="9">
        <v>800</v>
      </c>
      <c r="G1111" s="9">
        <f>DATOS!$E1111*DATOS!$F1111</f>
        <v>9600</v>
      </c>
    </row>
    <row r="1112" spans="1:7" x14ac:dyDescent="0.3">
      <c r="A1112" s="10">
        <v>41531</v>
      </c>
      <c r="B1112" s="9" t="s">
        <v>17</v>
      </c>
      <c r="C1112" s="9" t="s">
        <v>26</v>
      </c>
      <c r="D1112" s="9" t="s">
        <v>32</v>
      </c>
      <c r="E1112" s="9">
        <v>13</v>
      </c>
      <c r="F1112" s="9">
        <v>950</v>
      </c>
      <c r="G1112" s="9">
        <f>DATOS!$E1112*DATOS!$F1112</f>
        <v>12350</v>
      </c>
    </row>
    <row r="1113" spans="1:7" x14ac:dyDescent="0.3">
      <c r="A1113" s="10">
        <v>40792</v>
      </c>
      <c r="B1113" s="9" t="s">
        <v>17</v>
      </c>
      <c r="C1113" s="9" t="s">
        <v>25</v>
      </c>
      <c r="D1113" s="9" t="s">
        <v>32</v>
      </c>
      <c r="E1113" s="9">
        <v>107</v>
      </c>
      <c r="F1113" s="9">
        <v>820</v>
      </c>
      <c r="G1113" s="9">
        <f>DATOS!$E1113*DATOS!$F1113</f>
        <v>87740</v>
      </c>
    </row>
    <row r="1114" spans="1:7" x14ac:dyDescent="0.3">
      <c r="A1114" s="10">
        <v>41511</v>
      </c>
      <c r="B1114" s="9" t="s">
        <v>17</v>
      </c>
      <c r="C1114" s="9" t="s">
        <v>29</v>
      </c>
      <c r="D1114" s="9" t="s">
        <v>32</v>
      </c>
      <c r="E1114" s="9">
        <v>273</v>
      </c>
      <c r="F1114" s="9">
        <v>950</v>
      </c>
      <c r="G1114" s="9">
        <f>DATOS!$E1114*DATOS!$F1114</f>
        <v>259350</v>
      </c>
    </row>
    <row r="1115" spans="1:7" x14ac:dyDescent="0.3">
      <c r="A1115" s="10">
        <v>40367</v>
      </c>
      <c r="B1115" s="9" t="s">
        <v>17</v>
      </c>
      <c r="C1115" s="9" t="s">
        <v>27</v>
      </c>
      <c r="D1115" s="9" t="s">
        <v>31</v>
      </c>
      <c r="E1115" s="9">
        <v>29</v>
      </c>
      <c r="F1115" s="9">
        <v>800</v>
      </c>
      <c r="G1115" s="9">
        <f>DATOS!$E1115*DATOS!$F1115</f>
        <v>23200</v>
      </c>
    </row>
    <row r="1116" spans="1:7" x14ac:dyDescent="0.3">
      <c r="A1116" s="10">
        <v>41503</v>
      </c>
      <c r="B1116" s="9" t="s">
        <v>17</v>
      </c>
      <c r="C1116" s="9" t="s">
        <v>28</v>
      </c>
      <c r="D1116" s="9" t="s">
        <v>32</v>
      </c>
      <c r="E1116" s="9">
        <v>22</v>
      </c>
      <c r="F1116" s="9">
        <v>820</v>
      </c>
      <c r="G1116" s="9">
        <f>DATOS!$E1116*DATOS!$F1116</f>
        <v>18040</v>
      </c>
    </row>
    <row r="1117" spans="1:7" x14ac:dyDescent="0.3">
      <c r="A1117" s="10">
        <v>40257</v>
      </c>
      <c r="B1117" s="9" t="s">
        <v>17</v>
      </c>
      <c r="C1117" s="9" t="s">
        <v>28</v>
      </c>
      <c r="D1117" s="9" t="s">
        <v>32</v>
      </c>
      <c r="E1117" s="9">
        <v>22</v>
      </c>
      <c r="F1117" s="9">
        <v>950</v>
      </c>
      <c r="G1117" s="9">
        <f>DATOS!$E1117*DATOS!$F1117</f>
        <v>20900</v>
      </c>
    </row>
    <row r="1118" spans="1:7" x14ac:dyDescent="0.3">
      <c r="A1118" s="10">
        <v>41718</v>
      </c>
      <c r="B1118" s="9" t="s">
        <v>17</v>
      </c>
      <c r="C1118" s="9" t="s">
        <v>24</v>
      </c>
      <c r="D1118" s="9" t="s">
        <v>30</v>
      </c>
      <c r="E1118" s="9">
        <v>33</v>
      </c>
      <c r="F1118" s="9">
        <v>450</v>
      </c>
      <c r="G1118" s="9">
        <f>DATOS!$E1118*DATOS!$F1118</f>
        <v>14850</v>
      </c>
    </row>
    <row r="1119" spans="1:7" x14ac:dyDescent="0.3">
      <c r="A1119" s="10">
        <v>40629</v>
      </c>
      <c r="B1119" s="9" t="s">
        <v>17</v>
      </c>
      <c r="C1119" s="9" t="s">
        <v>24</v>
      </c>
      <c r="D1119" s="9" t="s">
        <v>32</v>
      </c>
      <c r="E1119" s="9">
        <v>48</v>
      </c>
      <c r="F1119" s="9">
        <v>820</v>
      </c>
      <c r="G1119" s="9">
        <f>DATOS!$E1119*DATOS!$F1119</f>
        <v>39360</v>
      </c>
    </row>
    <row r="1120" spans="1:7" x14ac:dyDescent="0.3">
      <c r="A1120" s="10">
        <v>40648</v>
      </c>
      <c r="B1120" s="9" t="s">
        <v>17</v>
      </c>
      <c r="C1120" s="9" t="s">
        <v>29</v>
      </c>
      <c r="D1120" s="9" t="s">
        <v>31</v>
      </c>
      <c r="E1120" s="9">
        <v>115</v>
      </c>
      <c r="F1120" s="9">
        <v>800</v>
      </c>
      <c r="G1120" s="9">
        <f>DATOS!$E1120*DATOS!$F1120</f>
        <v>92000</v>
      </c>
    </row>
    <row r="1121" spans="1:7" x14ac:dyDescent="0.3">
      <c r="A1121" s="10">
        <v>40847</v>
      </c>
      <c r="B1121" s="9" t="s">
        <v>17</v>
      </c>
      <c r="C1121" s="9" t="s">
        <v>27</v>
      </c>
      <c r="D1121" s="9" t="s">
        <v>31</v>
      </c>
      <c r="E1121" s="9">
        <v>34</v>
      </c>
      <c r="F1121" s="9">
        <v>800</v>
      </c>
      <c r="G1121" s="9">
        <f>DATOS!$E1121*DATOS!$F1121</f>
        <v>27200</v>
      </c>
    </row>
    <row r="1122" spans="1:7" x14ac:dyDescent="0.3">
      <c r="A1122" s="10">
        <v>41978</v>
      </c>
      <c r="B1122" s="9" t="s">
        <v>17</v>
      </c>
      <c r="C1122" s="9" t="s">
        <v>24</v>
      </c>
      <c r="D1122" s="9" t="s">
        <v>32</v>
      </c>
      <c r="E1122" s="9">
        <v>24</v>
      </c>
      <c r="F1122" s="9">
        <v>950</v>
      </c>
      <c r="G1122" s="9">
        <f>DATOS!$E1122*DATOS!$F1122</f>
        <v>22800</v>
      </c>
    </row>
    <row r="1123" spans="1:7" x14ac:dyDescent="0.3">
      <c r="A1123" s="10">
        <v>41063</v>
      </c>
      <c r="B1123" s="9" t="s">
        <v>17</v>
      </c>
      <c r="C1123" s="9" t="s">
        <v>25</v>
      </c>
      <c r="D1123" s="9" t="s">
        <v>31</v>
      </c>
      <c r="E1123" s="9">
        <v>134</v>
      </c>
      <c r="F1123" s="9">
        <v>800</v>
      </c>
      <c r="G1123" s="9">
        <f>DATOS!$E1123*DATOS!$F1123</f>
        <v>107200</v>
      </c>
    </row>
    <row r="1124" spans="1:7" x14ac:dyDescent="0.3">
      <c r="A1124" s="10">
        <v>40782</v>
      </c>
      <c r="B1124" s="9" t="s">
        <v>17</v>
      </c>
      <c r="C1124" s="9" t="s">
        <v>25</v>
      </c>
      <c r="D1124" s="9" t="s">
        <v>33</v>
      </c>
      <c r="E1124" s="9">
        <v>149</v>
      </c>
      <c r="F1124" s="9">
        <v>650</v>
      </c>
      <c r="G1124" s="9">
        <f>DATOS!$E1124*DATOS!$F1124</f>
        <v>96850</v>
      </c>
    </row>
    <row r="1125" spans="1:7" x14ac:dyDescent="0.3">
      <c r="A1125" s="10">
        <v>41557</v>
      </c>
      <c r="B1125" s="9" t="s">
        <v>17</v>
      </c>
      <c r="C1125" s="9" t="s">
        <v>24</v>
      </c>
      <c r="D1125" s="9" t="s">
        <v>31</v>
      </c>
      <c r="E1125" s="9">
        <v>6</v>
      </c>
      <c r="F1125" s="9">
        <v>800</v>
      </c>
      <c r="G1125" s="9">
        <f>DATOS!$E1125*DATOS!$F1125</f>
        <v>4800</v>
      </c>
    </row>
    <row r="1126" spans="1:7" x14ac:dyDescent="0.3">
      <c r="A1126" s="10">
        <v>41923</v>
      </c>
      <c r="B1126" s="9" t="s">
        <v>17</v>
      </c>
      <c r="C1126" s="9" t="s">
        <v>27</v>
      </c>
      <c r="D1126" s="9" t="s">
        <v>32</v>
      </c>
      <c r="E1126" s="9">
        <v>19</v>
      </c>
      <c r="F1126" s="9">
        <v>820</v>
      </c>
      <c r="G1126" s="9">
        <f>DATOS!$E1126*DATOS!$F1126</f>
        <v>15580</v>
      </c>
    </row>
    <row r="1127" spans="1:7" x14ac:dyDescent="0.3">
      <c r="A1127" s="10">
        <v>40511</v>
      </c>
      <c r="B1127" s="9" t="s">
        <v>17</v>
      </c>
      <c r="C1127" s="9" t="s">
        <v>24</v>
      </c>
      <c r="D1127" s="9" t="s">
        <v>33</v>
      </c>
      <c r="E1127" s="9">
        <v>41</v>
      </c>
      <c r="F1127" s="9">
        <v>650</v>
      </c>
      <c r="G1127" s="9">
        <f>DATOS!$E1127*DATOS!$F1127</f>
        <v>26650</v>
      </c>
    </row>
    <row r="1128" spans="1:7" x14ac:dyDescent="0.3">
      <c r="A1128" s="10">
        <v>41361</v>
      </c>
      <c r="B1128" s="9" t="s">
        <v>17</v>
      </c>
      <c r="C1128" s="9" t="s">
        <v>28</v>
      </c>
      <c r="D1128" s="9" t="s">
        <v>30</v>
      </c>
      <c r="E1128" s="9">
        <v>11</v>
      </c>
      <c r="F1128" s="9">
        <v>450</v>
      </c>
      <c r="G1128" s="9">
        <f>DATOS!$E1128*DATOS!$F1128</f>
        <v>4950</v>
      </c>
    </row>
    <row r="1129" spans="1:7" x14ac:dyDescent="0.3">
      <c r="A1129" s="10">
        <v>41050</v>
      </c>
      <c r="B1129" s="9" t="s">
        <v>17</v>
      </c>
      <c r="C1129" s="9" t="s">
        <v>25</v>
      </c>
      <c r="D1129" s="9" t="s">
        <v>32</v>
      </c>
      <c r="E1129" s="9">
        <v>123</v>
      </c>
      <c r="F1129" s="9">
        <v>950</v>
      </c>
      <c r="G1129" s="9">
        <f>DATOS!$E1129*DATOS!$F1129</f>
        <v>116850</v>
      </c>
    </row>
    <row r="1130" spans="1:7" x14ac:dyDescent="0.3">
      <c r="A1130" s="10">
        <v>40601</v>
      </c>
      <c r="B1130" s="9" t="s">
        <v>17</v>
      </c>
      <c r="C1130" s="9" t="s">
        <v>28</v>
      </c>
      <c r="D1130" s="9" t="s">
        <v>32</v>
      </c>
      <c r="E1130" s="9">
        <v>4</v>
      </c>
      <c r="F1130" s="9">
        <v>820</v>
      </c>
      <c r="G1130" s="9">
        <f>DATOS!$E1130*DATOS!$F1130</f>
        <v>3280</v>
      </c>
    </row>
    <row r="1131" spans="1:7" x14ac:dyDescent="0.3">
      <c r="A1131" s="10">
        <v>41891</v>
      </c>
      <c r="B1131" s="9" t="s">
        <v>17</v>
      </c>
      <c r="C1131" s="9" t="s">
        <v>26</v>
      </c>
      <c r="D1131" s="9" t="s">
        <v>37</v>
      </c>
      <c r="E1131" s="9">
        <v>151</v>
      </c>
      <c r="F1131" s="9">
        <v>1200</v>
      </c>
      <c r="G1131" s="9">
        <f>DATOS!$E1131*DATOS!$F1131</f>
        <v>181200</v>
      </c>
    </row>
    <row r="1132" spans="1:7" x14ac:dyDescent="0.3">
      <c r="A1132" s="10">
        <v>40731</v>
      </c>
      <c r="B1132" s="9" t="s">
        <v>17</v>
      </c>
      <c r="C1132" s="9" t="s">
        <v>28</v>
      </c>
      <c r="D1132" s="9" t="s">
        <v>37</v>
      </c>
      <c r="E1132" s="9">
        <v>16</v>
      </c>
      <c r="F1132" s="9">
        <v>1200</v>
      </c>
      <c r="G1132" s="9">
        <f>DATOS!$E1132*DATOS!$F1132</f>
        <v>19200</v>
      </c>
    </row>
    <row r="1133" spans="1:7" x14ac:dyDescent="0.3">
      <c r="A1133" s="10">
        <v>40257</v>
      </c>
      <c r="B1133" s="9" t="s">
        <v>17</v>
      </c>
      <c r="C1133" s="9" t="s">
        <v>26</v>
      </c>
      <c r="D1133" s="9" t="s">
        <v>32</v>
      </c>
      <c r="E1133" s="9">
        <v>15</v>
      </c>
      <c r="F1133" s="9">
        <v>820</v>
      </c>
      <c r="G1133" s="9">
        <f>DATOS!$E1133*DATOS!$F1133</f>
        <v>12300</v>
      </c>
    </row>
    <row r="1134" spans="1:7" x14ac:dyDescent="0.3">
      <c r="A1134" s="10">
        <v>40865</v>
      </c>
      <c r="B1134" s="9" t="s">
        <v>17</v>
      </c>
      <c r="C1134" s="9" t="s">
        <v>24</v>
      </c>
      <c r="D1134" s="9" t="s">
        <v>31</v>
      </c>
      <c r="E1134" s="9">
        <v>41</v>
      </c>
      <c r="F1134" s="9">
        <v>800</v>
      </c>
      <c r="G1134" s="9">
        <f>DATOS!$E1134*DATOS!$F1134</f>
        <v>32800</v>
      </c>
    </row>
    <row r="1135" spans="1:7" x14ac:dyDescent="0.3">
      <c r="A1135" s="10">
        <v>40980</v>
      </c>
      <c r="B1135" s="9" t="s">
        <v>17</v>
      </c>
      <c r="C1135" s="9" t="s">
        <v>24</v>
      </c>
      <c r="D1135" s="9" t="s">
        <v>30</v>
      </c>
      <c r="E1135" s="9">
        <v>58</v>
      </c>
      <c r="F1135" s="9">
        <v>450</v>
      </c>
      <c r="G1135" s="9">
        <f>DATOS!$E1135*DATOS!$F1135</f>
        <v>26100</v>
      </c>
    </row>
    <row r="1136" spans="1:7" x14ac:dyDescent="0.3">
      <c r="A1136" s="10">
        <v>41836</v>
      </c>
      <c r="B1136" s="9" t="s">
        <v>17</v>
      </c>
      <c r="C1136" s="9" t="s">
        <v>24</v>
      </c>
      <c r="D1136" s="9" t="s">
        <v>31</v>
      </c>
      <c r="E1136" s="9">
        <v>2</v>
      </c>
      <c r="F1136" s="9">
        <v>800</v>
      </c>
      <c r="G1136" s="9">
        <f>DATOS!$E1136*DATOS!$F1136</f>
        <v>1600</v>
      </c>
    </row>
    <row r="1137" spans="1:7" x14ac:dyDescent="0.3">
      <c r="A1137" s="10">
        <v>41433</v>
      </c>
      <c r="B1137" s="9" t="s">
        <v>17</v>
      </c>
      <c r="C1137" s="9" t="s">
        <v>28</v>
      </c>
      <c r="D1137" s="9" t="s">
        <v>33</v>
      </c>
      <c r="E1137" s="9">
        <v>1</v>
      </c>
      <c r="F1137" s="9">
        <v>650</v>
      </c>
      <c r="G1137" s="9">
        <f>DATOS!$E1137*DATOS!$F1137</f>
        <v>650</v>
      </c>
    </row>
    <row r="1138" spans="1:7" x14ac:dyDescent="0.3">
      <c r="A1138" s="10">
        <v>40859</v>
      </c>
      <c r="B1138" s="9" t="s">
        <v>17</v>
      </c>
      <c r="C1138" s="9" t="s">
        <v>28</v>
      </c>
      <c r="D1138" s="9" t="s">
        <v>33</v>
      </c>
      <c r="E1138" s="9">
        <v>7</v>
      </c>
      <c r="F1138" s="9">
        <v>650</v>
      </c>
      <c r="G1138" s="9">
        <f>DATOS!$E1138*DATOS!$F1138</f>
        <v>4550</v>
      </c>
    </row>
    <row r="1139" spans="1:7" x14ac:dyDescent="0.3">
      <c r="A1139" s="10">
        <v>41378</v>
      </c>
      <c r="B1139" s="9" t="s">
        <v>17</v>
      </c>
      <c r="C1139" s="9" t="s">
        <v>25</v>
      </c>
      <c r="D1139" s="9" t="s">
        <v>31</v>
      </c>
      <c r="E1139" s="9">
        <v>78</v>
      </c>
      <c r="F1139" s="9">
        <v>800</v>
      </c>
      <c r="G1139" s="9">
        <f>DATOS!$E1139*DATOS!$F1139</f>
        <v>62400</v>
      </c>
    </row>
    <row r="1140" spans="1:7" x14ac:dyDescent="0.3">
      <c r="A1140" s="10">
        <v>41800</v>
      </c>
      <c r="B1140" s="9" t="s">
        <v>17</v>
      </c>
      <c r="C1140" s="9" t="s">
        <v>29</v>
      </c>
      <c r="D1140" s="9" t="s">
        <v>32</v>
      </c>
      <c r="E1140" s="9">
        <v>27</v>
      </c>
      <c r="F1140" s="9">
        <v>950</v>
      </c>
      <c r="G1140" s="9">
        <f>DATOS!$E1140*DATOS!$F1140</f>
        <v>25650</v>
      </c>
    </row>
    <row r="1141" spans="1:7" x14ac:dyDescent="0.3">
      <c r="A1141" s="10">
        <v>41305</v>
      </c>
      <c r="B1141" s="9" t="s">
        <v>17</v>
      </c>
      <c r="C1141" s="9" t="s">
        <v>28</v>
      </c>
      <c r="D1141" s="9" t="s">
        <v>32</v>
      </c>
      <c r="E1141" s="9">
        <v>11</v>
      </c>
      <c r="F1141" s="9">
        <v>820</v>
      </c>
      <c r="G1141" s="9">
        <f>DATOS!$E1141*DATOS!$F1141</f>
        <v>9020</v>
      </c>
    </row>
    <row r="1142" spans="1:7" x14ac:dyDescent="0.3">
      <c r="A1142" s="10">
        <v>41713</v>
      </c>
      <c r="B1142" s="9" t="s">
        <v>17</v>
      </c>
      <c r="C1142" s="9" t="s">
        <v>28</v>
      </c>
      <c r="D1142" s="9" t="s">
        <v>37</v>
      </c>
      <c r="E1142" s="9">
        <v>14</v>
      </c>
      <c r="F1142" s="9">
        <v>1200</v>
      </c>
      <c r="G1142" s="9">
        <f>DATOS!$E1142*DATOS!$F1142</f>
        <v>16800</v>
      </c>
    </row>
    <row r="1143" spans="1:7" x14ac:dyDescent="0.3">
      <c r="A1143" s="10">
        <v>41685</v>
      </c>
      <c r="B1143" s="9" t="s">
        <v>17</v>
      </c>
      <c r="C1143" s="9" t="s">
        <v>24</v>
      </c>
      <c r="D1143" s="9" t="s">
        <v>32</v>
      </c>
      <c r="E1143" s="9">
        <v>71</v>
      </c>
      <c r="F1143" s="9">
        <v>820</v>
      </c>
      <c r="G1143" s="9">
        <f>DATOS!$E1143*DATOS!$F1143</f>
        <v>58220</v>
      </c>
    </row>
    <row r="1144" spans="1:7" x14ac:dyDescent="0.3">
      <c r="A1144" s="10">
        <v>40593</v>
      </c>
      <c r="B1144" s="9" t="s">
        <v>17</v>
      </c>
      <c r="C1144" s="9" t="s">
        <v>28</v>
      </c>
      <c r="D1144" s="9" t="s">
        <v>32</v>
      </c>
      <c r="E1144" s="9">
        <v>11</v>
      </c>
      <c r="F1144" s="9">
        <v>820</v>
      </c>
      <c r="G1144" s="9">
        <f>DATOS!$E1144*DATOS!$F1144</f>
        <v>9020</v>
      </c>
    </row>
    <row r="1145" spans="1:7" x14ac:dyDescent="0.3">
      <c r="A1145" s="10">
        <v>41018</v>
      </c>
      <c r="B1145" s="9" t="s">
        <v>17</v>
      </c>
      <c r="C1145" s="9" t="s">
        <v>24</v>
      </c>
      <c r="D1145" s="9" t="s">
        <v>31</v>
      </c>
      <c r="E1145" s="9">
        <v>23</v>
      </c>
      <c r="F1145" s="9">
        <v>800</v>
      </c>
      <c r="G1145" s="9">
        <f>DATOS!$E1145*DATOS!$F1145</f>
        <v>18400</v>
      </c>
    </row>
    <row r="1146" spans="1:7" x14ac:dyDescent="0.3">
      <c r="A1146" s="10">
        <v>41086</v>
      </c>
      <c r="B1146" s="9" t="s">
        <v>17</v>
      </c>
      <c r="C1146" s="9" t="s">
        <v>29</v>
      </c>
      <c r="D1146" s="9" t="s">
        <v>31</v>
      </c>
      <c r="E1146" s="9">
        <v>93</v>
      </c>
      <c r="F1146" s="9">
        <v>800</v>
      </c>
      <c r="G1146" s="9">
        <f>DATOS!$E1146*DATOS!$F1146</f>
        <v>74400</v>
      </c>
    </row>
    <row r="1147" spans="1:7" x14ac:dyDescent="0.3">
      <c r="A1147" s="10">
        <v>40741</v>
      </c>
      <c r="B1147" s="9" t="s">
        <v>17</v>
      </c>
      <c r="C1147" s="9" t="s">
        <v>24</v>
      </c>
      <c r="D1147" s="9" t="s">
        <v>30</v>
      </c>
      <c r="E1147" s="9">
        <v>26</v>
      </c>
      <c r="F1147" s="9">
        <v>450</v>
      </c>
      <c r="G1147" s="9">
        <f>DATOS!$E1147*DATOS!$F1147</f>
        <v>11700</v>
      </c>
    </row>
    <row r="1148" spans="1:7" x14ac:dyDescent="0.3">
      <c r="A1148" s="10">
        <v>41471</v>
      </c>
      <c r="B1148" s="9" t="s">
        <v>17</v>
      </c>
      <c r="C1148" s="9" t="s">
        <v>28</v>
      </c>
      <c r="D1148" s="9" t="s">
        <v>32</v>
      </c>
      <c r="E1148" s="9">
        <v>2</v>
      </c>
      <c r="F1148" s="9">
        <v>820</v>
      </c>
      <c r="G1148" s="9">
        <f>DATOS!$E1148*DATOS!$F1148</f>
        <v>1640</v>
      </c>
    </row>
    <row r="1149" spans="1:7" x14ac:dyDescent="0.3">
      <c r="A1149" s="10">
        <v>41136</v>
      </c>
      <c r="B1149" s="9" t="s">
        <v>17</v>
      </c>
      <c r="C1149" s="9" t="s">
        <v>29</v>
      </c>
      <c r="D1149" s="9" t="s">
        <v>30</v>
      </c>
      <c r="E1149" s="9">
        <v>88</v>
      </c>
      <c r="F1149" s="9">
        <v>450</v>
      </c>
      <c r="G1149" s="9">
        <f>DATOS!$E1149*DATOS!$F1149</f>
        <v>39600</v>
      </c>
    </row>
    <row r="1150" spans="1:7" x14ac:dyDescent="0.3">
      <c r="A1150" s="10">
        <v>40340</v>
      </c>
      <c r="B1150" s="9" t="s">
        <v>17</v>
      </c>
      <c r="C1150" s="9" t="s">
        <v>24</v>
      </c>
      <c r="D1150" s="9" t="s">
        <v>30</v>
      </c>
      <c r="E1150" s="9">
        <v>96</v>
      </c>
      <c r="F1150" s="9">
        <v>450</v>
      </c>
      <c r="G1150" s="9">
        <f>DATOS!$E1150*DATOS!$F1150</f>
        <v>43200</v>
      </c>
    </row>
    <row r="1151" spans="1:7" x14ac:dyDescent="0.3">
      <c r="A1151" s="10">
        <v>40757</v>
      </c>
      <c r="B1151" s="9" t="s">
        <v>17</v>
      </c>
      <c r="C1151" s="9" t="s">
        <v>27</v>
      </c>
      <c r="D1151" s="9" t="s">
        <v>33</v>
      </c>
      <c r="E1151" s="9">
        <v>3</v>
      </c>
      <c r="F1151" s="9">
        <v>650</v>
      </c>
      <c r="G1151" s="9">
        <f>DATOS!$E1151*DATOS!$F1151</f>
        <v>1950</v>
      </c>
    </row>
    <row r="1152" spans="1:7" x14ac:dyDescent="0.3">
      <c r="A1152" s="10">
        <v>41261</v>
      </c>
      <c r="B1152" s="9" t="s">
        <v>17</v>
      </c>
      <c r="C1152" s="9" t="s">
        <v>28</v>
      </c>
      <c r="D1152" s="9" t="s">
        <v>32</v>
      </c>
      <c r="E1152" s="9">
        <v>20</v>
      </c>
      <c r="F1152" s="9">
        <v>950</v>
      </c>
      <c r="G1152" s="9">
        <f>DATOS!$E1152*DATOS!$F1152</f>
        <v>19000</v>
      </c>
    </row>
    <row r="1153" spans="1:7" x14ac:dyDescent="0.3">
      <c r="A1153" s="10">
        <v>41296</v>
      </c>
      <c r="B1153" s="9" t="s">
        <v>18</v>
      </c>
      <c r="C1153" s="9" t="s">
        <v>24</v>
      </c>
      <c r="D1153" s="9" t="s">
        <v>31</v>
      </c>
      <c r="E1153" s="9">
        <v>1</v>
      </c>
      <c r="F1153" s="9">
        <v>800</v>
      </c>
      <c r="G1153" s="9">
        <f>DATOS!$E1153*DATOS!$F1153</f>
        <v>800</v>
      </c>
    </row>
    <row r="1154" spans="1:7" x14ac:dyDescent="0.3">
      <c r="A1154" s="10">
        <v>41233</v>
      </c>
      <c r="B1154" s="9" t="s">
        <v>18</v>
      </c>
      <c r="C1154" s="9" t="s">
        <v>27</v>
      </c>
      <c r="D1154" s="9" t="s">
        <v>37</v>
      </c>
      <c r="E1154" s="9">
        <v>57</v>
      </c>
      <c r="F1154" s="9">
        <v>1200</v>
      </c>
      <c r="G1154" s="9">
        <f>DATOS!$E1154*DATOS!$F1154</f>
        <v>68400</v>
      </c>
    </row>
    <row r="1155" spans="1:7" x14ac:dyDescent="0.3">
      <c r="A1155" s="10">
        <v>42004</v>
      </c>
      <c r="B1155" s="9" t="s">
        <v>18</v>
      </c>
      <c r="C1155" s="9" t="s">
        <v>25</v>
      </c>
      <c r="D1155" s="9" t="s">
        <v>31</v>
      </c>
      <c r="E1155" s="9">
        <v>63</v>
      </c>
      <c r="F1155" s="9">
        <v>800</v>
      </c>
      <c r="G1155" s="9">
        <f>DATOS!$E1155*DATOS!$F1155</f>
        <v>50400</v>
      </c>
    </row>
    <row r="1156" spans="1:7" x14ac:dyDescent="0.3">
      <c r="A1156" s="10">
        <v>40828</v>
      </c>
      <c r="B1156" s="9" t="s">
        <v>18</v>
      </c>
      <c r="C1156" s="9" t="s">
        <v>26</v>
      </c>
      <c r="D1156" s="9" t="s">
        <v>32</v>
      </c>
      <c r="E1156" s="9">
        <v>148</v>
      </c>
      <c r="F1156" s="9">
        <v>950</v>
      </c>
      <c r="G1156" s="9">
        <f>DATOS!$E1156*DATOS!$F1156</f>
        <v>140600</v>
      </c>
    </row>
    <row r="1157" spans="1:7" x14ac:dyDescent="0.3">
      <c r="A1157" s="10">
        <v>41766</v>
      </c>
      <c r="B1157" s="9" t="s">
        <v>18</v>
      </c>
      <c r="C1157" s="9" t="s">
        <v>28</v>
      </c>
      <c r="D1157" s="9" t="s">
        <v>37</v>
      </c>
      <c r="E1157" s="9">
        <v>10</v>
      </c>
      <c r="F1157" s="9">
        <v>1200</v>
      </c>
      <c r="G1157" s="9">
        <f>DATOS!$E1157*DATOS!$F1157</f>
        <v>12000</v>
      </c>
    </row>
    <row r="1158" spans="1:7" x14ac:dyDescent="0.3">
      <c r="A1158" s="10">
        <v>40258</v>
      </c>
      <c r="B1158" s="9" t="s">
        <v>18</v>
      </c>
      <c r="C1158" s="9" t="s">
        <v>27</v>
      </c>
      <c r="D1158" s="9" t="s">
        <v>37</v>
      </c>
      <c r="E1158" s="9">
        <v>95</v>
      </c>
      <c r="F1158" s="9">
        <v>1200</v>
      </c>
      <c r="G1158" s="9">
        <f>DATOS!$E1158*DATOS!$F1158</f>
        <v>114000</v>
      </c>
    </row>
    <row r="1159" spans="1:7" x14ac:dyDescent="0.3">
      <c r="A1159" s="10">
        <v>41447</v>
      </c>
      <c r="B1159" s="9" t="s">
        <v>18</v>
      </c>
      <c r="C1159" s="9" t="s">
        <v>27</v>
      </c>
      <c r="D1159" s="9" t="s">
        <v>31</v>
      </c>
      <c r="E1159" s="9">
        <v>18</v>
      </c>
      <c r="F1159" s="9">
        <v>800</v>
      </c>
      <c r="G1159" s="9">
        <f>DATOS!$E1159*DATOS!$F1159</f>
        <v>14400</v>
      </c>
    </row>
    <row r="1160" spans="1:7" x14ac:dyDescent="0.3">
      <c r="A1160" s="10">
        <v>40849</v>
      </c>
      <c r="B1160" s="9" t="s">
        <v>18</v>
      </c>
      <c r="C1160" s="9" t="s">
        <v>24</v>
      </c>
      <c r="D1160" s="9" t="s">
        <v>37</v>
      </c>
      <c r="E1160" s="9">
        <v>19</v>
      </c>
      <c r="F1160" s="9">
        <v>1200</v>
      </c>
      <c r="G1160" s="9">
        <f>DATOS!$E1160*DATOS!$F1160</f>
        <v>22800</v>
      </c>
    </row>
    <row r="1161" spans="1:7" x14ac:dyDescent="0.3">
      <c r="A1161" s="10">
        <v>40587</v>
      </c>
      <c r="B1161" s="9" t="s">
        <v>18</v>
      </c>
      <c r="C1161" s="9" t="s">
        <v>26</v>
      </c>
      <c r="D1161" s="9" t="s">
        <v>37</v>
      </c>
      <c r="E1161" s="9">
        <v>50</v>
      </c>
      <c r="F1161" s="9">
        <v>1200</v>
      </c>
      <c r="G1161" s="9">
        <f>DATOS!$E1161*DATOS!$F1161</f>
        <v>60000</v>
      </c>
    </row>
    <row r="1162" spans="1:7" x14ac:dyDescent="0.3">
      <c r="A1162" s="10">
        <v>41804</v>
      </c>
      <c r="B1162" s="9" t="s">
        <v>18</v>
      </c>
      <c r="C1162" s="9" t="s">
        <v>26</v>
      </c>
      <c r="D1162" s="9" t="s">
        <v>32</v>
      </c>
      <c r="E1162" s="9">
        <v>54</v>
      </c>
      <c r="F1162" s="9">
        <v>820</v>
      </c>
      <c r="G1162" s="9">
        <f>DATOS!$E1162*DATOS!$F1162</f>
        <v>44280</v>
      </c>
    </row>
    <row r="1163" spans="1:7" x14ac:dyDescent="0.3">
      <c r="A1163" s="10">
        <v>41124</v>
      </c>
      <c r="B1163" s="9" t="s">
        <v>18</v>
      </c>
      <c r="C1163" s="9" t="s">
        <v>25</v>
      </c>
      <c r="D1163" s="9" t="s">
        <v>37</v>
      </c>
      <c r="E1163" s="9">
        <v>35</v>
      </c>
      <c r="F1163" s="9">
        <v>1200</v>
      </c>
      <c r="G1163" s="9">
        <f>DATOS!$E1163*DATOS!$F1163</f>
        <v>42000</v>
      </c>
    </row>
    <row r="1164" spans="1:7" x14ac:dyDescent="0.3">
      <c r="A1164" s="10">
        <v>40490</v>
      </c>
      <c r="B1164" s="9" t="s">
        <v>18</v>
      </c>
      <c r="C1164" s="9" t="s">
        <v>26</v>
      </c>
      <c r="D1164" s="9" t="s">
        <v>30</v>
      </c>
      <c r="E1164" s="9">
        <v>27</v>
      </c>
      <c r="F1164" s="9">
        <v>450</v>
      </c>
      <c r="G1164" s="9">
        <f>DATOS!$E1164*DATOS!$F1164</f>
        <v>12150</v>
      </c>
    </row>
    <row r="1165" spans="1:7" x14ac:dyDescent="0.3">
      <c r="A1165" s="10">
        <v>41596</v>
      </c>
      <c r="B1165" s="9" t="s">
        <v>18</v>
      </c>
      <c r="C1165" s="9" t="s">
        <v>26</v>
      </c>
      <c r="D1165" s="9" t="s">
        <v>37</v>
      </c>
      <c r="E1165" s="9">
        <v>141</v>
      </c>
      <c r="F1165" s="9">
        <v>1200</v>
      </c>
      <c r="G1165" s="9">
        <f>DATOS!$E1165*DATOS!$F1165</f>
        <v>169200</v>
      </c>
    </row>
    <row r="1166" spans="1:7" x14ac:dyDescent="0.3">
      <c r="A1166" s="10">
        <v>41822</v>
      </c>
      <c r="B1166" s="9" t="s">
        <v>18</v>
      </c>
      <c r="C1166" s="9" t="s">
        <v>25</v>
      </c>
      <c r="D1166" s="9" t="s">
        <v>30</v>
      </c>
      <c r="E1166" s="9">
        <v>3</v>
      </c>
      <c r="F1166" s="9">
        <v>450</v>
      </c>
      <c r="G1166" s="9">
        <f>DATOS!$E1166*DATOS!$F1166</f>
        <v>1350</v>
      </c>
    </row>
    <row r="1167" spans="1:7" x14ac:dyDescent="0.3">
      <c r="A1167" s="10">
        <v>41824</v>
      </c>
      <c r="B1167" s="9" t="s">
        <v>18</v>
      </c>
      <c r="C1167" s="9" t="s">
        <v>25</v>
      </c>
      <c r="D1167" s="9" t="s">
        <v>33</v>
      </c>
      <c r="E1167" s="9">
        <v>186</v>
      </c>
      <c r="F1167" s="9">
        <v>650</v>
      </c>
      <c r="G1167" s="9">
        <f>DATOS!$E1167*DATOS!$F1167</f>
        <v>120900</v>
      </c>
    </row>
    <row r="1168" spans="1:7" x14ac:dyDescent="0.3">
      <c r="A1168" s="10">
        <v>41391</v>
      </c>
      <c r="B1168" s="9" t="s">
        <v>18</v>
      </c>
      <c r="C1168" s="9" t="s">
        <v>24</v>
      </c>
      <c r="D1168" s="9" t="s">
        <v>32</v>
      </c>
      <c r="E1168" s="9">
        <v>3</v>
      </c>
      <c r="F1168" s="9">
        <v>950</v>
      </c>
      <c r="G1168" s="9">
        <f>DATOS!$E1168*DATOS!$F1168</f>
        <v>2850</v>
      </c>
    </row>
    <row r="1169" spans="1:7" x14ac:dyDescent="0.3">
      <c r="A1169" s="10">
        <v>40222</v>
      </c>
      <c r="B1169" s="9" t="s">
        <v>18</v>
      </c>
      <c r="C1169" s="9" t="s">
        <v>25</v>
      </c>
      <c r="D1169" s="9" t="s">
        <v>32</v>
      </c>
      <c r="E1169" s="9">
        <v>4</v>
      </c>
      <c r="F1169" s="9">
        <v>950</v>
      </c>
      <c r="G1169" s="9">
        <f>DATOS!$E1169*DATOS!$F1169</f>
        <v>3800</v>
      </c>
    </row>
    <row r="1170" spans="1:7" x14ac:dyDescent="0.3">
      <c r="A1170" s="10">
        <v>40443</v>
      </c>
      <c r="B1170" s="9" t="s">
        <v>18</v>
      </c>
      <c r="C1170" s="9" t="s">
        <v>24</v>
      </c>
      <c r="D1170" s="9" t="s">
        <v>31</v>
      </c>
      <c r="E1170" s="9">
        <v>3</v>
      </c>
      <c r="F1170" s="9">
        <v>800</v>
      </c>
      <c r="G1170" s="9">
        <f>DATOS!$E1170*DATOS!$F1170</f>
        <v>2400</v>
      </c>
    </row>
    <row r="1171" spans="1:7" x14ac:dyDescent="0.3">
      <c r="A1171" s="10">
        <v>41967</v>
      </c>
      <c r="B1171" s="9" t="s">
        <v>18</v>
      </c>
      <c r="C1171" s="9" t="s">
        <v>29</v>
      </c>
      <c r="D1171" s="9" t="s">
        <v>37</v>
      </c>
      <c r="E1171" s="9">
        <v>151</v>
      </c>
      <c r="F1171" s="9">
        <v>1200</v>
      </c>
      <c r="G1171" s="9">
        <f>DATOS!$E1171*DATOS!$F1171</f>
        <v>181200</v>
      </c>
    </row>
    <row r="1172" spans="1:7" x14ac:dyDescent="0.3">
      <c r="A1172" s="10">
        <v>41493</v>
      </c>
      <c r="B1172" s="9" t="s">
        <v>18</v>
      </c>
      <c r="C1172" s="9" t="s">
        <v>24</v>
      </c>
      <c r="D1172" s="9" t="s">
        <v>37</v>
      </c>
      <c r="E1172" s="9">
        <v>75</v>
      </c>
      <c r="F1172" s="9">
        <v>1200</v>
      </c>
      <c r="G1172" s="9">
        <f>DATOS!$E1172*DATOS!$F1172</f>
        <v>90000</v>
      </c>
    </row>
    <row r="1173" spans="1:7" x14ac:dyDescent="0.3">
      <c r="A1173" s="10">
        <v>41281</v>
      </c>
      <c r="B1173" s="9" t="s">
        <v>18</v>
      </c>
      <c r="C1173" s="9" t="s">
        <v>26</v>
      </c>
      <c r="D1173" s="9" t="s">
        <v>33</v>
      </c>
      <c r="E1173" s="9">
        <v>38</v>
      </c>
      <c r="F1173" s="9">
        <v>650</v>
      </c>
      <c r="G1173" s="9">
        <f>DATOS!$E1173*DATOS!$F1173</f>
        <v>24700</v>
      </c>
    </row>
    <row r="1174" spans="1:7" x14ac:dyDescent="0.3">
      <c r="A1174" s="10">
        <v>40296</v>
      </c>
      <c r="B1174" s="9" t="s">
        <v>18</v>
      </c>
      <c r="C1174" s="9" t="s">
        <v>27</v>
      </c>
      <c r="D1174" s="9" t="s">
        <v>31</v>
      </c>
      <c r="E1174" s="9">
        <v>9</v>
      </c>
      <c r="F1174" s="9">
        <v>800</v>
      </c>
      <c r="G1174" s="9">
        <f>DATOS!$E1174*DATOS!$F1174</f>
        <v>7200</v>
      </c>
    </row>
    <row r="1175" spans="1:7" x14ac:dyDescent="0.3">
      <c r="A1175" s="10">
        <v>40501</v>
      </c>
      <c r="B1175" s="9" t="s">
        <v>18</v>
      </c>
      <c r="C1175" s="9" t="s">
        <v>28</v>
      </c>
      <c r="D1175" s="9" t="s">
        <v>32</v>
      </c>
      <c r="E1175" s="9">
        <v>18</v>
      </c>
      <c r="F1175" s="9">
        <v>820</v>
      </c>
      <c r="G1175" s="9">
        <f>DATOS!$E1175*DATOS!$F1175</f>
        <v>14760</v>
      </c>
    </row>
    <row r="1176" spans="1:7" x14ac:dyDescent="0.3">
      <c r="A1176" s="10">
        <v>41227</v>
      </c>
      <c r="B1176" s="9" t="s">
        <v>18</v>
      </c>
      <c r="C1176" s="9" t="s">
        <v>27</v>
      </c>
      <c r="D1176" s="9" t="s">
        <v>30</v>
      </c>
      <c r="E1176" s="9">
        <v>35</v>
      </c>
      <c r="F1176" s="9">
        <v>450</v>
      </c>
      <c r="G1176" s="9">
        <f>DATOS!$E1176*DATOS!$F1176</f>
        <v>15750</v>
      </c>
    </row>
    <row r="1177" spans="1:7" x14ac:dyDescent="0.3">
      <c r="A1177" s="10">
        <v>40747</v>
      </c>
      <c r="B1177" s="9" t="s">
        <v>18</v>
      </c>
      <c r="C1177" s="9" t="s">
        <v>25</v>
      </c>
      <c r="D1177" s="9" t="s">
        <v>30</v>
      </c>
      <c r="E1177" s="9">
        <v>107</v>
      </c>
      <c r="F1177" s="9">
        <v>450</v>
      </c>
      <c r="G1177" s="9">
        <f>DATOS!$E1177*DATOS!$F1177</f>
        <v>48150</v>
      </c>
    </row>
    <row r="1178" spans="1:7" x14ac:dyDescent="0.3">
      <c r="A1178" s="10">
        <v>40428</v>
      </c>
      <c r="B1178" s="9" t="s">
        <v>18</v>
      </c>
      <c r="C1178" s="9" t="s">
        <v>26</v>
      </c>
      <c r="D1178" s="9" t="s">
        <v>30</v>
      </c>
      <c r="E1178" s="9">
        <v>6</v>
      </c>
      <c r="F1178" s="9">
        <v>450</v>
      </c>
      <c r="G1178" s="9">
        <f>DATOS!$E1178*DATOS!$F1178</f>
        <v>2700</v>
      </c>
    </row>
    <row r="1179" spans="1:7" x14ac:dyDescent="0.3">
      <c r="A1179" s="10">
        <v>40774</v>
      </c>
      <c r="B1179" s="9" t="s">
        <v>18</v>
      </c>
      <c r="C1179" s="9" t="s">
        <v>25</v>
      </c>
      <c r="D1179" s="9" t="s">
        <v>32</v>
      </c>
      <c r="E1179" s="9">
        <v>121</v>
      </c>
      <c r="F1179" s="9">
        <v>950</v>
      </c>
      <c r="G1179" s="9">
        <f>DATOS!$E1179*DATOS!$F1179</f>
        <v>114950</v>
      </c>
    </row>
    <row r="1180" spans="1:7" x14ac:dyDescent="0.3">
      <c r="A1180" s="10">
        <v>40547</v>
      </c>
      <c r="B1180" s="9" t="s">
        <v>18</v>
      </c>
      <c r="C1180" s="9" t="s">
        <v>26</v>
      </c>
      <c r="D1180" s="9" t="s">
        <v>31</v>
      </c>
      <c r="E1180" s="9">
        <v>112</v>
      </c>
      <c r="F1180" s="9">
        <v>800</v>
      </c>
      <c r="G1180" s="9">
        <f>DATOS!$E1180*DATOS!$F1180</f>
        <v>89600</v>
      </c>
    </row>
    <row r="1181" spans="1:7" x14ac:dyDescent="0.3">
      <c r="A1181" s="10">
        <v>40666</v>
      </c>
      <c r="B1181" s="9" t="s">
        <v>18</v>
      </c>
      <c r="C1181" s="9" t="s">
        <v>28</v>
      </c>
      <c r="D1181" s="9" t="s">
        <v>32</v>
      </c>
      <c r="E1181" s="9">
        <v>16</v>
      </c>
      <c r="F1181" s="9">
        <v>950</v>
      </c>
      <c r="G1181" s="9">
        <f>DATOS!$E1181*DATOS!$F1181</f>
        <v>15200</v>
      </c>
    </row>
    <row r="1182" spans="1:7" x14ac:dyDescent="0.3">
      <c r="A1182" s="10">
        <v>40674</v>
      </c>
      <c r="B1182" s="9" t="s">
        <v>18</v>
      </c>
      <c r="C1182" s="9" t="s">
        <v>29</v>
      </c>
      <c r="D1182" s="9" t="s">
        <v>32</v>
      </c>
      <c r="E1182" s="9">
        <v>202</v>
      </c>
      <c r="F1182" s="9">
        <v>820</v>
      </c>
      <c r="G1182" s="9">
        <f>DATOS!$E1182*DATOS!$F1182</f>
        <v>165640</v>
      </c>
    </row>
    <row r="1183" spans="1:7" x14ac:dyDescent="0.3">
      <c r="A1183" s="10">
        <v>41982</v>
      </c>
      <c r="B1183" s="9" t="s">
        <v>18</v>
      </c>
      <c r="C1183" s="9" t="s">
        <v>26</v>
      </c>
      <c r="D1183" s="9" t="s">
        <v>37</v>
      </c>
      <c r="E1183" s="9">
        <v>139</v>
      </c>
      <c r="F1183" s="9">
        <v>1200</v>
      </c>
      <c r="G1183" s="9">
        <f>DATOS!$E1183*DATOS!$F1183</f>
        <v>166800</v>
      </c>
    </row>
    <row r="1184" spans="1:7" x14ac:dyDescent="0.3">
      <c r="A1184" s="10">
        <v>40602</v>
      </c>
      <c r="B1184" s="9" t="s">
        <v>18</v>
      </c>
      <c r="C1184" s="9" t="s">
        <v>26</v>
      </c>
      <c r="D1184" s="9" t="s">
        <v>32</v>
      </c>
      <c r="E1184" s="9">
        <v>9</v>
      </c>
      <c r="F1184" s="9">
        <v>820</v>
      </c>
      <c r="G1184" s="9">
        <f>DATOS!$E1184*DATOS!$F1184</f>
        <v>7380</v>
      </c>
    </row>
    <row r="1185" spans="1:7" x14ac:dyDescent="0.3">
      <c r="A1185" s="10">
        <v>40811</v>
      </c>
      <c r="B1185" s="9" t="s">
        <v>18</v>
      </c>
      <c r="C1185" s="9" t="s">
        <v>26</v>
      </c>
      <c r="D1185" s="9" t="s">
        <v>30</v>
      </c>
      <c r="E1185" s="9">
        <v>32</v>
      </c>
      <c r="F1185" s="9">
        <v>450</v>
      </c>
      <c r="G1185" s="9">
        <f>DATOS!$E1185*DATOS!$F1185</f>
        <v>14400</v>
      </c>
    </row>
    <row r="1186" spans="1:7" x14ac:dyDescent="0.3">
      <c r="A1186" s="10">
        <v>41144</v>
      </c>
      <c r="B1186" s="9" t="s">
        <v>18</v>
      </c>
      <c r="C1186" s="9" t="s">
        <v>26</v>
      </c>
      <c r="D1186" s="9" t="s">
        <v>32</v>
      </c>
      <c r="E1186" s="9">
        <v>39</v>
      </c>
      <c r="F1186" s="9">
        <v>820</v>
      </c>
      <c r="G1186" s="9">
        <f>DATOS!$E1186*DATOS!$F1186</f>
        <v>31980</v>
      </c>
    </row>
    <row r="1187" spans="1:7" x14ac:dyDescent="0.3">
      <c r="A1187" s="10">
        <v>40185</v>
      </c>
      <c r="B1187" s="9" t="s">
        <v>18</v>
      </c>
      <c r="C1187" s="9" t="s">
        <v>24</v>
      </c>
      <c r="D1187" s="9" t="s">
        <v>33</v>
      </c>
      <c r="E1187" s="9">
        <v>111</v>
      </c>
      <c r="F1187" s="9">
        <v>650</v>
      </c>
      <c r="G1187" s="9">
        <f>DATOS!$E1187*DATOS!$F1187</f>
        <v>72150</v>
      </c>
    </row>
    <row r="1188" spans="1:7" x14ac:dyDescent="0.3">
      <c r="A1188" s="10">
        <v>40638</v>
      </c>
      <c r="B1188" s="9" t="s">
        <v>18</v>
      </c>
      <c r="C1188" s="9" t="s">
        <v>29</v>
      </c>
      <c r="D1188" s="9" t="s">
        <v>32</v>
      </c>
      <c r="E1188" s="9">
        <v>241</v>
      </c>
      <c r="F1188" s="9">
        <v>820</v>
      </c>
      <c r="G1188" s="9">
        <f>DATOS!$E1188*DATOS!$F1188</f>
        <v>197620</v>
      </c>
    </row>
    <row r="1189" spans="1:7" x14ac:dyDescent="0.3">
      <c r="A1189" s="10">
        <v>41564</v>
      </c>
      <c r="B1189" s="9" t="s">
        <v>18</v>
      </c>
      <c r="C1189" s="9" t="s">
        <v>28</v>
      </c>
      <c r="D1189" s="9" t="s">
        <v>31</v>
      </c>
      <c r="E1189" s="9">
        <v>31</v>
      </c>
      <c r="F1189" s="9">
        <v>800</v>
      </c>
      <c r="G1189" s="9">
        <f>DATOS!$E1189*DATOS!$F1189</f>
        <v>24800</v>
      </c>
    </row>
    <row r="1190" spans="1:7" x14ac:dyDescent="0.3">
      <c r="A1190" s="10">
        <v>41115</v>
      </c>
      <c r="B1190" s="9" t="s">
        <v>18</v>
      </c>
      <c r="C1190" s="9" t="s">
        <v>24</v>
      </c>
      <c r="D1190" s="9" t="s">
        <v>31</v>
      </c>
      <c r="E1190" s="9">
        <v>37</v>
      </c>
      <c r="F1190" s="9">
        <v>800</v>
      </c>
      <c r="G1190" s="9">
        <f>DATOS!$E1190*DATOS!$F1190</f>
        <v>29600</v>
      </c>
    </row>
    <row r="1191" spans="1:7" x14ac:dyDescent="0.3">
      <c r="A1191" s="10">
        <v>41371</v>
      </c>
      <c r="B1191" s="9" t="s">
        <v>18</v>
      </c>
      <c r="C1191" s="9" t="s">
        <v>27</v>
      </c>
      <c r="D1191" s="9" t="s">
        <v>37</v>
      </c>
      <c r="E1191" s="9">
        <v>53</v>
      </c>
      <c r="F1191" s="9">
        <v>1200</v>
      </c>
      <c r="G1191" s="9">
        <f>DATOS!$E1191*DATOS!$F1191</f>
        <v>63600</v>
      </c>
    </row>
    <row r="1192" spans="1:7" x14ac:dyDescent="0.3">
      <c r="A1192" s="10">
        <v>41427</v>
      </c>
      <c r="B1192" s="9" t="s">
        <v>18</v>
      </c>
      <c r="C1192" s="9" t="s">
        <v>26</v>
      </c>
      <c r="D1192" s="9" t="s">
        <v>30</v>
      </c>
      <c r="E1192" s="9">
        <v>54</v>
      </c>
      <c r="F1192" s="9">
        <v>450</v>
      </c>
      <c r="G1192" s="9">
        <f>DATOS!$E1192*DATOS!$F1192</f>
        <v>24300</v>
      </c>
    </row>
    <row r="1193" spans="1:7" x14ac:dyDescent="0.3">
      <c r="A1193" s="10">
        <v>40407</v>
      </c>
      <c r="B1193" s="9" t="s">
        <v>18</v>
      </c>
      <c r="C1193" s="9" t="s">
        <v>29</v>
      </c>
      <c r="D1193" s="9" t="s">
        <v>32</v>
      </c>
      <c r="E1193" s="9">
        <v>125</v>
      </c>
      <c r="F1193" s="9">
        <v>820</v>
      </c>
      <c r="G1193" s="9">
        <f>DATOS!$E1193*DATOS!$F1193</f>
        <v>102500</v>
      </c>
    </row>
    <row r="1194" spans="1:7" x14ac:dyDescent="0.3">
      <c r="A1194" s="10">
        <v>40385</v>
      </c>
      <c r="B1194" s="9" t="s">
        <v>18</v>
      </c>
      <c r="C1194" s="9" t="s">
        <v>25</v>
      </c>
      <c r="D1194" s="9" t="s">
        <v>31</v>
      </c>
      <c r="E1194" s="9">
        <v>75</v>
      </c>
      <c r="F1194" s="9">
        <v>800</v>
      </c>
      <c r="G1194" s="9">
        <f>DATOS!$E1194*DATOS!$F1194</f>
        <v>60000</v>
      </c>
    </row>
    <row r="1195" spans="1:7" x14ac:dyDescent="0.3">
      <c r="A1195" s="10">
        <v>41878</v>
      </c>
      <c r="B1195" s="9" t="s">
        <v>18</v>
      </c>
      <c r="C1195" s="9" t="s">
        <v>28</v>
      </c>
      <c r="D1195" s="9" t="s">
        <v>37</v>
      </c>
      <c r="E1195" s="9">
        <v>16</v>
      </c>
      <c r="F1195" s="9">
        <v>1200</v>
      </c>
      <c r="G1195" s="9">
        <f>DATOS!$E1195*DATOS!$F1195</f>
        <v>19200</v>
      </c>
    </row>
    <row r="1196" spans="1:7" x14ac:dyDescent="0.3">
      <c r="A1196" s="10">
        <v>40213</v>
      </c>
      <c r="B1196" s="9" t="s">
        <v>18</v>
      </c>
      <c r="C1196" s="9" t="s">
        <v>24</v>
      </c>
      <c r="D1196" s="9" t="s">
        <v>31</v>
      </c>
      <c r="E1196" s="9">
        <v>116</v>
      </c>
      <c r="F1196" s="9">
        <v>800</v>
      </c>
      <c r="G1196" s="9">
        <f>DATOS!$E1196*DATOS!$F1196</f>
        <v>92800</v>
      </c>
    </row>
    <row r="1197" spans="1:7" x14ac:dyDescent="0.3">
      <c r="A1197" s="10">
        <v>41884</v>
      </c>
      <c r="B1197" s="9" t="s">
        <v>18</v>
      </c>
      <c r="C1197" s="9" t="s">
        <v>26</v>
      </c>
      <c r="D1197" s="9" t="s">
        <v>33</v>
      </c>
      <c r="E1197" s="9">
        <v>74</v>
      </c>
      <c r="F1197" s="9">
        <v>650</v>
      </c>
      <c r="G1197" s="9">
        <f>DATOS!$E1197*DATOS!$F1197</f>
        <v>48100</v>
      </c>
    </row>
    <row r="1198" spans="1:7" x14ac:dyDescent="0.3">
      <c r="A1198" s="10">
        <v>41326</v>
      </c>
      <c r="B1198" s="9" t="s">
        <v>18</v>
      </c>
      <c r="C1198" s="9" t="s">
        <v>24</v>
      </c>
      <c r="D1198" s="9" t="s">
        <v>37</v>
      </c>
      <c r="E1198" s="9">
        <v>33</v>
      </c>
      <c r="F1198" s="9">
        <v>1200</v>
      </c>
      <c r="G1198" s="9">
        <f>DATOS!$E1198*DATOS!$F1198</f>
        <v>39600</v>
      </c>
    </row>
    <row r="1199" spans="1:7" x14ac:dyDescent="0.3">
      <c r="A1199" s="10">
        <v>40967</v>
      </c>
      <c r="B1199" s="9" t="s">
        <v>18</v>
      </c>
      <c r="C1199" s="9" t="s">
        <v>29</v>
      </c>
      <c r="D1199" s="9" t="s">
        <v>31</v>
      </c>
      <c r="E1199" s="9">
        <v>42</v>
      </c>
      <c r="F1199" s="9">
        <v>800</v>
      </c>
      <c r="G1199" s="9">
        <f>DATOS!$E1199*DATOS!$F1199</f>
        <v>33600</v>
      </c>
    </row>
    <row r="1200" spans="1:7" x14ac:dyDescent="0.3">
      <c r="A1200" s="10">
        <v>41113</v>
      </c>
      <c r="B1200" s="9" t="s">
        <v>18</v>
      </c>
      <c r="C1200" s="9" t="s">
        <v>29</v>
      </c>
      <c r="D1200" s="9" t="s">
        <v>37</v>
      </c>
      <c r="E1200" s="9">
        <v>6</v>
      </c>
      <c r="F1200" s="9">
        <v>1200</v>
      </c>
      <c r="G1200" s="9">
        <f>DATOS!$E1200*DATOS!$F1200</f>
        <v>7200</v>
      </c>
    </row>
    <row r="1201" spans="1:7" x14ac:dyDescent="0.3">
      <c r="A1201" s="10">
        <v>41372</v>
      </c>
      <c r="B1201" s="9" t="s">
        <v>18</v>
      </c>
      <c r="C1201" s="9" t="s">
        <v>27</v>
      </c>
      <c r="D1201" s="9" t="s">
        <v>33</v>
      </c>
      <c r="E1201" s="9">
        <v>42</v>
      </c>
      <c r="F1201" s="9">
        <v>650</v>
      </c>
      <c r="G1201" s="9">
        <f>DATOS!$E1201*DATOS!$F1201</f>
        <v>27300</v>
      </c>
    </row>
    <row r="1202" spans="1:7" x14ac:dyDescent="0.3">
      <c r="A1202" s="10">
        <v>40635</v>
      </c>
      <c r="B1202" s="9" t="s">
        <v>18</v>
      </c>
      <c r="C1202" s="9" t="s">
        <v>26</v>
      </c>
      <c r="D1202" s="9" t="s">
        <v>32</v>
      </c>
      <c r="E1202" s="9">
        <v>1</v>
      </c>
      <c r="F1202" s="9">
        <v>950</v>
      </c>
      <c r="G1202" s="9">
        <f>DATOS!$E1202*DATOS!$F1202</f>
        <v>950</v>
      </c>
    </row>
    <row r="1203" spans="1:7" x14ac:dyDescent="0.3">
      <c r="A1203" s="10">
        <v>40286</v>
      </c>
      <c r="B1203" s="9" t="s">
        <v>18</v>
      </c>
      <c r="C1203" s="9" t="s">
        <v>27</v>
      </c>
      <c r="D1203" s="9" t="s">
        <v>31</v>
      </c>
      <c r="E1203" s="9">
        <v>48</v>
      </c>
      <c r="F1203" s="9">
        <v>800</v>
      </c>
      <c r="G1203" s="9">
        <f>DATOS!$E1203*DATOS!$F1203</f>
        <v>38400</v>
      </c>
    </row>
    <row r="1204" spans="1:7" x14ac:dyDescent="0.3">
      <c r="A1204" s="10">
        <v>41752</v>
      </c>
      <c r="B1204" s="9" t="s">
        <v>18</v>
      </c>
      <c r="C1204" s="9" t="s">
        <v>29</v>
      </c>
      <c r="D1204" s="9" t="s">
        <v>30</v>
      </c>
      <c r="E1204" s="9">
        <v>46</v>
      </c>
      <c r="F1204" s="9">
        <v>450</v>
      </c>
      <c r="G1204" s="9">
        <f>DATOS!$E1204*DATOS!$F1204</f>
        <v>20700</v>
      </c>
    </row>
    <row r="1205" spans="1:7" x14ac:dyDescent="0.3">
      <c r="A1205" s="10">
        <v>40312</v>
      </c>
      <c r="B1205" s="9" t="s">
        <v>18</v>
      </c>
      <c r="C1205" s="9" t="s">
        <v>25</v>
      </c>
      <c r="D1205" s="9" t="s">
        <v>33</v>
      </c>
      <c r="E1205" s="9">
        <v>27</v>
      </c>
      <c r="F1205" s="9">
        <v>650</v>
      </c>
      <c r="G1205" s="9">
        <f>DATOS!$E1205*DATOS!$F1205</f>
        <v>17550</v>
      </c>
    </row>
    <row r="1206" spans="1:7" x14ac:dyDescent="0.3">
      <c r="A1206" s="10">
        <v>41317</v>
      </c>
      <c r="B1206" s="9" t="s">
        <v>18</v>
      </c>
      <c r="C1206" s="9" t="s">
        <v>26</v>
      </c>
      <c r="D1206" s="9" t="s">
        <v>33</v>
      </c>
      <c r="E1206" s="9">
        <v>72</v>
      </c>
      <c r="F1206" s="9">
        <v>650</v>
      </c>
      <c r="G1206" s="9">
        <f>DATOS!$E1206*DATOS!$F1206</f>
        <v>46800</v>
      </c>
    </row>
    <row r="1207" spans="1:7" x14ac:dyDescent="0.3">
      <c r="A1207" s="10">
        <v>40619</v>
      </c>
      <c r="B1207" s="9" t="s">
        <v>18</v>
      </c>
      <c r="C1207" s="9" t="s">
        <v>27</v>
      </c>
      <c r="D1207" s="9" t="s">
        <v>31</v>
      </c>
      <c r="E1207" s="9">
        <v>8</v>
      </c>
      <c r="F1207" s="9">
        <v>800</v>
      </c>
      <c r="G1207" s="9">
        <f>DATOS!$E1207*DATOS!$F1207</f>
        <v>6400</v>
      </c>
    </row>
    <row r="1208" spans="1:7" x14ac:dyDescent="0.3">
      <c r="A1208" s="10">
        <v>40791</v>
      </c>
      <c r="B1208" s="9" t="s">
        <v>18</v>
      </c>
      <c r="C1208" s="9" t="s">
        <v>29</v>
      </c>
      <c r="D1208" s="9" t="s">
        <v>30</v>
      </c>
      <c r="E1208" s="9">
        <v>28</v>
      </c>
      <c r="F1208" s="9">
        <v>450</v>
      </c>
      <c r="G1208" s="9">
        <f>DATOS!$E1208*DATOS!$F1208</f>
        <v>12600</v>
      </c>
    </row>
    <row r="1209" spans="1:7" x14ac:dyDescent="0.3">
      <c r="A1209" s="10">
        <v>40406</v>
      </c>
      <c r="B1209" s="9" t="s">
        <v>18</v>
      </c>
      <c r="C1209" s="9" t="s">
        <v>29</v>
      </c>
      <c r="D1209" s="9" t="s">
        <v>30</v>
      </c>
      <c r="E1209" s="9">
        <v>116</v>
      </c>
      <c r="F1209" s="9">
        <v>450</v>
      </c>
      <c r="G1209" s="9">
        <f>DATOS!$E1209*DATOS!$F1209</f>
        <v>52200</v>
      </c>
    </row>
    <row r="1210" spans="1:7" x14ac:dyDescent="0.3">
      <c r="A1210" s="10">
        <v>40328</v>
      </c>
      <c r="B1210" s="9" t="s">
        <v>19</v>
      </c>
      <c r="C1210" s="9" t="s">
        <v>29</v>
      </c>
      <c r="D1210" s="9" t="s">
        <v>31</v>
      </c>
      <c r="E1210" s="9">
        <v>56</v>
      </c>
      <c r="F1210" s="9">
        <v>800</v>
      </c>
      <c r="G1210" s="9">
        <f>DATOS!$E1210*DATOS!$F1210</f>
        <v>44800</v>
      </c>
    </row>
    <row r="1211" spans="1:7" x14ac:dyDescent="0.3">
      <c r="A1211" s="10">
        <v>40807</v>
      </c>
      <c r="B1211" s="9" t="s">
        <v>19</v>
      </c>
      <c r="C1211" s="9" t="s">
        <v>29</v>
      </c>
      <c r="D1211" s="9" t="s">
        <v>31</v>
      </c>
      <c r="E1211" s="9">
        <v>99</v>
      </c>
      <c r="F1211" s="9">
        <v>800</v>
      </c>
      <c r="G1211" s="9">
        <f>DATOS!$E1211*DATOS!$F1211</f>
        <v>79200</v>
      </c>
    </row>
    <row r="1212" spans="1:7" x14ac:dyDescent="0.3">
      <c r="A1212" s="10">
        <v>40632</v>
      </c>
      <c r="B1212" s="9" t="s">
        <v>19</v>
      </c>
      <c r="C1212" s="9" t="s">
        <v>27</v>
      </c>
      <c r="D1212" s="9" t="s">
        <v>31</v>
      </c>
      <c r="E1212" s="9">
        <v>47</v>
      </c>
      <c r="F1212" s="9">
        <v>800</v>
      </c>
      <c r="G1212" s="9">
        <f>DATOS!$E1212*DATOS!$F1212</f>
        <v>37600</v>
      </c>
    </row>
    <row r="1213" spans="1:7" x14ac:dyDescent="0.3">
      <c r="A1213" s="10">
        <v>41488</v>
      </c>
      <c r="B1213" s="9" t="s">
        <v>19</v>
      </c>
      <c r="C1213" s="9" t="s">
        <v>29</v>
      </c>
      <c r="D1213" s="9" t="s">
        <v>37</v>
      </c>
      <c r="E1213" s="9">
        <v>47</v>
      </c>
      <c r="F1213" s="9">
        <v>1200</v>
      </c>
      <c r="G1213" s="9">
        <f>DATOS!$E1213*DATOS!$F1213</f>
        <v>56400</v>
      </c>
    </row>
    <row r="1214" spans="1:7" x14ac:dyDescent="0.3">
      <c r="A1214" s="10">
        <v>40614</v>
      </c>
      <c r="B1214" s="9" t="s">
        <v>19</v>
      </c>
      <c r="C1214" s="9" t="s">
        <v>26</v>
      </c>
      <c r="D1214" s="9" t="s">
        <v>31</v>
      </c>
      <c r="E1214" s="9">
        <v>91</v>
      </c>
      <c r="F1214" s="9">
        <v>800</v>
      </c>
      <c r="G1214" s="9">
        <f>DATOS!$E1214*DATOS!$F1214</f>
        <v>72800</v>
      </c>
    </row>
    <row r="1215" spans="1:7" x14ac:dyDescent="0.3">
      <c r="A1215" s="10">
        <v>40981</v>
      </c>
      <c r="B1215" s="9" t="s">
        <v>19</v>
      </c>
      <c r="C1215" s="9" t="s">
        <v>28</v>
      </c>
      <c r="D1215" s="9" t="s">
        <v>33</v>
      </c>
      <c r="E1215" s="9">
        <v>1</v>
      </c>
      <c r="F1215" s="9">
        <v>650</v>
      </c>
      <c r="G1215" s="9">
        <f>DATOS!$E1215*DATOS!$F1215</f>
        <v>650</v>
      </c>
    </row>
    <row r="1216" spans="1:7" x14ac:dyDescent="0.3">
      <c r="A1216" s="10">
        <v>40805</v>
      </c>
      <c r="B1216" s="9" t="s">
        <v>19</v>
      </c>
      <c r="C1216" s="9" t="s">
        <v>29</v>
      </c>
      <c r="D1216" s="9" t="s">
        <v>37</v>
      </c>
      <c r="E1216" s="9">
        <v>57</v>
      </c>
      <c r="F1216" s="9">
        <v>1200</v>
      </c>
      <c r="G1216" s="9">
        <f>DATOS!$E1216*DATOS!$F1216</f>
        <v>68400</v>
      </c>
    </row>
    <row r="1217" spans="1:7" x14ac:dyDescent="0.3">
      <c r="A1217" s="10">
        <v>41542</v>
      </c>
      <c r="B1217" s="9" t="s">
        <v>19</v>
      </c>
      <c r="C1217" s="9" t="s">
        <v>27</v>
      </c>
      <c r="D1217" s="9" t="s">
        <v>31</v>
      </c>
      <c r="E1217" s="9">
        <v>50</v>
      </c>
      <c r="F1217" s="9">
        <v>800</v>
      </c>
      <c r="G1217" s="9">
        <f>DATOS!$E1217*DATOS!$F1217</f>
        <v>40000</v>
      </c>
    </row>
    <row r="1218" spans="1:7" x14ac:dyDescent="0.3">
      <c r="A1218" s="10">
        <v>41013</v>
      </c>
      <c r="B1218" s="9" t="s">
        <v>19</v>
      </c>
      <c r="C1218" s="9" t="s">
        <v>26</v>
      </c>
      <c r="D1218" s="9" t="s">
        <v>32</v>
      </c>
      <c r="E1218" s="9">
        <v>1</v>
      </c>
      <c r="F1218" s="9">
        <v>950</v>
      </c>
      <c r="G1218" s="9">
        <f>DATOS!$E1218*DATOS!$F1218</f>
        <v>950</v>
      </c>
    </row>
    <row r="1219" spans="1:7" x14ac:dyDescent="0.3">
      <c r="A1219" s="10">
        <v>41585</v>
      </c>
      <c r="B1219" s="9" t="s">
        <v>19</v>
      </c>
      <c r="C1219" s="9" t="s">
        <v>27</v>
      </c>
      <c r="D1219" s="9" t="s">
        <v>32</v>
      </c>
      <c r="E1219" s="9">
        <v>15</v>
      </c>
      <c r="F1219" s="9">
        <v>820</v>
      </c>
      <c r="G1219" s="9">
        <f>DATOS!$E1219*DATOS!$F1219</f>
        <v>12300</v>
      </c>
    </row>
    <row r="1220" spans="1:7" x14ac:dyDescent="0.3">
      <c r="A1220" s="10">
        <v>40924</v>
      </c>
      <c r="B1220" s="9" t="s">
        <v>19</v>
      </c>
      <c r="C1220" s="9" t="s">
        <v>27</v>
      </c>
      <c r="D1220" s="9" t="s">
        <v>31</v>
      </c>
      <c r="E1220" s="9">
        <v>6</v>
      </c>
      <c r="F1220" s="9">
        <v>800</v>
      </c>
      <c r="G1220" s="9">
        <f>DATOS!$E1220*DATOS!$F1220</f>
        <v>4800</v>
      </c>
    </row>
    <row r="1221" spans="1:7" x14ac:dyDescent="0.3">
      <c r="A1221" s="10">
        <v>41770</v>
      </c>
      <c r="B1221" s="9" t="s">
        <v>19</v>
      </c>
      <c r="C1221" s="9" t="s">
        <v>29</v>
      </c>
      <c r="D1221" s="9" t="s">
        <v>31</v>
      </c>
      <c r="E1221" s="9">
        <v>24</v>
      </c>
      <c r="F1221" s="9">
        <v>800</v>
      </c>
      <c r="G1221" s="9">
        <f>DATOS!$E1221*DATOS!$F1221</f>
        <v>19200</v>
      </c>
    </row>
    <row r="1222" spans="1:7" x14ac:dyDescent="0.3">
      <c r="A1222" s="10">
        <v>40761</v>
      </c>
      <c r="B1222" s="9" t="s">
        <v>19</v>
      </c>
      <c r="C1222" s="9" t="s">
        <v>25</v>
      </c>
      <c r="D1222" s="9" t="s">
        <v>33</v>
      </c>
      <c r="E1222" s="9">
        <v>61</v>
      </c>
      <c r="F1222" s="9">
        <v>650</v>
      </c>
      <c r="G1222" s="9">
        <f>DATOS!$E1222*DATOS!$F1222</f>
        <v>39650</v>
      </c>
    </row>
    <row r="1223" spans="1:7" x14ac:dyDescent="0.3">
      <c r="A1223" s="10">
        <v>40698</v>
      </c>
      <c r="B1223" s="9" t="s">
        <v>19</v>
      </c>
      <c r="C1223" s="9" t="s">
        <v>25</v>
      </c>
      <c r="D1223" s="9" t="s">
        <v>30</v>
      </c>
      <c r="E1223" s="9">
        <v>225</v>
      </c>
      <c r="F1223" s="9">
        <v>450</v>
      </c>
      <c r="G1223" s="9">
        <f>DATOS!$E1223*DATOS!$F1223</f>
        <v>101250</v>
      </c>
    </row>
    <row r="1224" spans="1:7" x14ac:dyDescent="0.3">
      <c r="A1224" s="10">
        <v>41230</v>
      </c>
      <c r="B1224" s="9" t="s">
        <v>19</v>
      </c>
      <c r="C1224" s="9" t="s">
        <v>24</v>
      </c>
      <c r="D1224" s="9" t="s">
        <v>33</v>
      </c>
      <c r="E1224" s="9">
        <v>49</v>
      </c>
      <c r="F1224" s="9">
        <v>650</v>
      </c>
      <c r="G1224" s="9">
        <f>DATOS!$E1224*DATOS!$F1224</f>
        <v>31850</v>
      </c>
    </row>
    <row r="1225" spans="1:7" x14ac:dyDescent="0.3">
      <c r="A1225" s="10">
        <v>40522</v>
      </c>
      <c r="B1225" s="9" t="s">
        <v>19</v>
      </c>
      <c r="C1225" s="9" t="s">
        <v>24</v>
      </c>
      <c r="D1225" s="9" t="s">
        <v>31</v>
      </c>
      <c r="E1225" s="9">
        <v>18</v>
      </c>
      <c r="F1225" s="9">
        <v>800</v>
      </c>
      <c r="G1225" s="9">
        <f>DATOS!$E1225*DATOS!$F1225</f>
        <v>14400</v>
      </c>
    </row>
    <row r="1226" spans="1:7" x14ac:dyDescent="0.3">
      <c r="A1226" s="10">
        <v>40842</v>
      </c>
      <c r="B1226" s="9" t="s">
        <v>19</v>
      </c>
      <c r="C1226" s="9" t="s">
        <v>27</v>
      </c>
      <c r="D1226" s="9" t="s">
        <v>31</v>
      </c>
      <c r="E1226" s="9">
        <v>9</v>
      </c>
      <c r="F1226" s="9">
        <v>800</v>
      </c>
      <c r="G1226" s="9">
        <f>DATOS!$E1226*DATOS!$F1226</f>
        <v>7200</v>
      </c>
    </row>
    <row r="1227" spans="1:7" x14ac:dyDescent="0.3">
      <c r="A1227" s="10">
        <v>41676</v>
      </c>
      <c r="B1227" s="9" t="s">
        <v>19</v>
      </c>
      <c r="C1227" s="9" t="s">
        <v>25</v>
      </c>
      <c r="D1227" s="9" t="s">
        <v>31</v>
      </c>
      <c r="E1227" s="9">
        <v>175</v>
      </c>
      <c r="F1227" s="9">
        <v>800</v>
      </c>
      <c r="G1227" s="9">
        <f>DATOS!$E1227*DATOS!$F1227</f>
        <v>140000</v>
      </c>
    </row>
    <row r="1228" spans="1:7" x14ac:dyDescent="0.3">
      <c r="A1228" s="10">
        <v>40288</v>
      </c>
      <c r="B1228" s="9" t="s">
        <v>19</v>
      </c>
      <c r="C1228" s="9" t="s">
        <v>25</v>
      </c>
      <c r="D1228" s="9" t="s">
        <v>31</v>
      </c>
      <c r="E1228" s="9">
        <v>64</v>
      </c>
      <c r="F1228" s="9">
        <v>800</v>
      </c>
      <c r="G1228" s="9">
        <f>DATOS!$E1228*DATOS!$F1228</f>
        <v>51200</v>
      </c>
    </row>
    <row r="1229" spans="1:7" x14ac:dyDescent="0.3">
      <c r="A1229" s="10">
        <v>41421</v>
      </c>
      <c r="B1229" s="9" t="s">
        <v>19</v>
      </c>
      <c r="C1229" s="9" t="s">
        <v>28</v>
      </c>
      <c r="D1229" s="9" t="s">
        <v>32</v>
      </c>
      <c r="E1229" s="9">
        <v>22</v>
      </c>
      <c r="F1229" s="9">
        <v>820</v>
      </c>
      <c r="G1229" s="9">
        <f>DATOS!$E1229*DATOS!$F1229</f>
        <v>18040</v>
      </c>
    </row>
    <row r="1230" spans="1:7" x14ac:dyDescent="0.3">
      <c r="A1230" s="10">
        <v>41147</v>
      </c>
      <c r="B1230" s="9" t="s">
        <v>19</v>
      </c>
      <c r="C1230" s="9" t="s">
        <v>28</v>
      </c>
      <c r="D1230" s="9" t="s">
        <v>32</v>
      </c>
      <c r="E1230" s="9">
        <v>13</v>
      </c>
      <c r="F1230" s="9">
        <v>950</v>
      </c>
      <c r="G1230" s="9">
        <f>DATOS!$E1230*DATOS!$F1230</f>
        <v>12350</v>
      </c>
    </row>
    <row r="1231" spans="1:7" x14ac:dyDescent="0.3">
      <c r="A1231" s="10">
        <v>40289</v>
      </c>
      <c r="B1231" s="9" t="s">
        <v>19</v>
      </c>
      <c r="C1231" s="9" t="s">
        <v>26</v>
      </c>
      <c r="D1231" s="9" t="s">
        <v>37</v>
      </c>
      <c r="E1231" s="9">
        <v>39</v>
      </c>
      <c r="F1231" s="9">
        <v>1200</v>
      </c>
      <c r="G1231" s="9">
        <f>DATOS!$E1231*DATOS!$F1231</f>
        <v>46800</v>
      </c>
    </row>
    <row r="1232" spans="1:7" x14ac:dyDescent="0.3">
      <c r="A1232" s="10">
        <v>41086</v>
      </c>
      <c r="B1232" s="9" t="s">
        <v>19</v>
      </c>
      <c r="C1232" s="9" t="s">
        <v>28</v>
      </c>
      <c r="D1232" s="9" t="s">
        <v>32</v>
      </c>
      <c r="E1232" s="9">
        <v>9</v>
      </c>
      <c r="F1232" s="9">
        <v>950</v>
      </c>
      <c r="G1232" s="9">
        <f>DATOS!$E1232*DATOS!$F1232</f>
        <v>8550</v>
      </c>
    </row>
    <row r="1233" spans="1:7" x14ac:dyDescent="0.3">
      <c r="A1233" s="10">
        <v>41415</v>
      </c>
      <c r="B1233" s="9" t="s">
        <v>19</v>
      </c>
      <c r="C1233" s="9" t="s">
        <v>25</v>
      </c>
      <c r="D1233" s="9" t="s">
        <v>32</v>
      </c>
      <c r="E1233" s="9">
        <v>32</v>
      </c>
      <c r="F1233" s="9">
        <v>820</v>
      </c>
      <c r="G1233" s="9">
        <f>DATOS!$E1233*DATOS!$F1233</f>
        <v>26240</v>
      </c>
    </row>
    <row r="1234" spans="1:7" x14ac:dyDescent="0.3">
      <c r="A1234" s="10">
        <v>40956</v>
      </c>
      <c r="B1234" s="9" t="s">
        <v>19</v>
      </c>
      <c r="C1234" s="9" t="s">
        <v>28</v>
      </c>
      <c r="D1234" s="9" t="s">
        <v>32</v>
      </c>
      <c r="E1234" s="9">
        <v>4</v>
      </c>
      <c r="F1234" s="9">
        <v>820</v>
      </c>
      <c r="G1234" s="9">
        <f>DATOS!$E1234*DATOS!$F1234</f>
        <v>3280</v>
      </c>
    </row>
    <row r="1235" spans="1:7" x14ac:dyDescent="0.3">
      <c r="A1235" s="10">
        <v>41885</v>
      </c>
      <c r="B1235" s="9" t="s">
        <v>19</v>
      </c>
      <c r="C1235" s="9" t="s">
        <v>26</v>
      </c>
      <c r="D1235" s="9" t="s">
        <v>37</v>
      </c>
      <c r="E1235" s="9">
        <v>27</v>
      </c>
      <c r="F1235" s="9">
        <v>1200</v>
      </c>
      <c r="G1235" s="9">
        <f>DATOS!$E1235*DATOS!$F1235</f>
        <v>32400</v>
      </c>
    </row>
    <row r="1236" spans="1:7" x14ac:dyDescent="0.3">
      <c r="A1236" s="10">
        <v>41654</v>
      </c>
      <c r="B1236" s="9" t="s">
        <v>19</v>
      </c>
      <c r="C1236" s="9" t="s">
        <v>25</v>
      </c>
      <c r="D1236" s="9" t="s">
        <v>31</v>
      </c>
      <c r="E1236" s="9">
        <v>219</v>
      </c>
      <c r="F1236" s="9">
        <v>800</v>
      </c>
      <c r="G1236" s="9">
        <f>DATOS!$E1236*DATOS!$F1236</f>
        <v>175200</v>
      </c>
    </row>
    <row r="1237" spans="1:7" x14ac:dyDescent="0.3">
      <c r="A1237" s="10">
        <v>41773</v>
      </c>
      <c r="B1237" s="9" t="s">
        <v>19</v>
      </c>
      <c r="C1237" s="9" t="s">
        <v>27</v>
      </c>
      <c r="D1237" s="9" t="s">
        <v>31</v>
      </c>
      <c r="E1237" s="9">
        <v>1</v>
      </c>
      <c r="F1237" s="9">
        <v>800</v>
      </c>
      <c r="G1237" s="9">
        <f>DATOS!$E1237*DATOS!$F1237</f>
        <v>800</v>
      </c>
    </row>
    <row r="1238" spans="1:7" x14ac:dyDescent="0.3">
      <c r="A1238" s="10">
        <v>41747</v>
      </c>
      <c r="B1238" s="9" t="s">
        <v>19</v>
      </c>
      <c r="C1238" s="9" t="s">
        <v>26</v>
      </c>
      <c r="D1238" s="9" t="s">
        <v>31</v>
      </c>
      <c r="E1238" s="9">
        <v>14</v>
      </c>
      <c r="F1238" s="9">
        <v>800</v>
      </c>
      <c r="G1238" s="9">
        <f>DATOS!$E1238*DATOS!$F1238</f>
        <v>11200</v>
      </c>
    </row>
    <row r="1239" spans="1:7" x14ac:dyDescent="0.3">
      <c r="A1239" s="10">
        <v>41058</v>
      </c>
      <c r="B1239" s="9" t="s">
        <v>19</v>
      </c>
      <c r="C1239" s="9" t="s">
        <v>28</v>
      </c>
      <c r="D1239" s="9" t="s">
        <v>32</v>
      </c>
      <c r="E1239" s="9">
        <v>9</v>
      </c>
      <c r="F1239" s="9">
        <v>820</v>
      </c>
      <c r="G1239" s="9">
        <f>DATOS!$E1239*DATOS!$F1239</f>
        <v>7380</v>
      </c>
    </row>
    <row r="1240" spans="1:7" x14ac:dyDescent="0.3">
      <c r="A1240" s="10">
        <v>41084</v>
      </c>
      <c r="B1240" s="9" t="s">
        <v>19</v>
      </c>
      <c r="C1240" s="9" t="s">
        <v>28</v>
      </c>
      <c r="D1240" s="9" t="s">
        <v>32</v>
      </c>
      <c r="E1240" s="9">
        <v>16</v>
      </c>
      <c r="F1240" s="9">
        <v>950</v>
      </c>
      <c r="G1240" s="9">
        <f>DATOS!$E1240*DATOS!$F1240</f>
        <v>15200</v>
      </c>
    </row>
    <row r="1241" spans="1:7" x14ac:dyDescent="0.3">
      <c r="A1241" s="10">
        <v>41632</v>
      </c>
      <c r="B1241" s="9" t="s">
        <v>19</v>
      </c>
      <c r="C1241" s="9" t="s">
        <v>29</v>
      </c>
      <c r="D1241" s="9" t="s">
        <v>31</v>
      </c>
      <c r="E1241" s="9">
        <v>54</v>
      </c>
      <c r="F1241" s="9">
        <v>800</v>
      </c>
      <c r="G1241" s="9">
        <f>DATOS!$E1241*DATOS!$F1241</f>
        <v>43200</v>
      </c>
    </row>
    <row r="1242" spans="1:7" x14ac:dyDescent="0.3">
      <c r="A1242" s="10">
        <v>41170</v>
      </c>
      <c r="B1242" s="9" t="s">
        <v>19</v>
      </c>
      <c r="C1242" s="9" t="s">
        <v>27</v>
      </c>
      <c r="D1242" s="9" t="s">
        <v>32</v>
      </c>
      <c r="E1242" s="9">
        <v>3</v>
      </c>
      <c r="F1242" s="9">
        <v>820</v>
      </c>
      <c r="G1242" s="9">
        <f>DATOS!$E1242*DATOS!$F1242</f>
        <v>2460</v>
      </c>
    </row>
    <row r="1243" spans="1:7" x14ac:dyDescent="0.3">
      <c r="A1243" s="10">
        <v>41538</v>
      </c>
      <c r="B1243" s="9" t="s">
        <v>19</v>
      </c>
      <c r="C1243" s="9" t="s">
        <v>24</v>
      </c>
      <c r="D1243" s="9" t="s">
        <v>32</v>
      </c>
      <c r="E1243" s="9">
        <v>43</v>
      </c>
      <c r="F1243" s="9">
        <v>950</v>
      </c>
      <c r="G1243" s="9">
        <f>DATOS!$E1243*DATOS!$F1243</f>
        <v>40850</v>
      </c>
    </row>
    <row r="1244" spans="1:7" x14ac:dyDescent="0.3">
      <c r="A1244" s="10">
        <v>40399</v>
      </c>
      <c r="B1244" s="9" t="s">
        <v>19</v>
      </c>
      <c r="C1244" s="9" t="s">
        <v>29</v>
      </c>
      <c r="D1244" s="9" t="s">
        <v>31</v>
      </c>
      <c r="E1244" s="9">
        <v>52</v>
      </c>
      <c r="F1244" s="9">
        <v>800</v>
      </c>
      <c r="G1244" s="9">
        <f>DATOS!$E1244*DATOS!$F1244</f>
        <v>41600</v>
      </c>
    </row>
    <row r="1245" spans="1:7" x14ac:dyDescent="0.3">
      <c r="A1245" s="10">
        <v>41874</v>
      </c>
      <c r="B1245" s="9" t="s">
        <v>19</v>
      </c>
      <c r="C1245" s="9" t="s">
        <v>29</v>
      </c>
      <c r="D1245" s="9" t="s">
        <v>32</v>
      </c>
      <c r="E1245" s="9">
        <v>41</v>
      </c>
      <c r="F1245" s="9">
        <v>820</v>
      </c>
      <c r="G1245" s="9">
        <f>DATOS!$E1245*DATOS!$F1245</f>
        <v>33620</v>
      </c>
    </row>
    <row r="1246" spans="1:7" x14ac:dyDescent="0.3">
      <c r="A1246" s="10">
        <v>40320</v>
      </c>
      <c r="B1246" s="9" t="s">
        <v>19</v>
      </c>
      <c r="C1246" s="9" t="s">
        <v>26</v>
      </c>
      <c r="D1246" s="9" t="s">
        <v>37</v>
      </c>
      <c r="E1246" s="9">
        <v>40</v>
      </c>
      <c r="F1246" s="9">
        <v>1200</v>
      </c>
      <c r="G1246" s="9">
        <f>DATOS!$E1246*DATOS!$F1246</f>
        <v>48000</v>
      </c>
    </row>
    <row r="1247" spans="1:7" x14ac:dyDescent="0.3">
      <c r="A1247" s="10">
        <v>41646</v>
      </c>
      <c r="B1247" s="9" t="s">
        <v>19</v>
      </c>
      <c r="C1247" s="9" t="s">
        <v>26</v>
      </c>
      <c r="D1247" s="9" t="s">
        <v>32</v>
      </c>
      <c r="E1247" s="9">
        <v>112</v>
      </c>
      <c r="F1247" s="9">
        <v>950</v>
      </c>
      <c r="G1247" s="9">
        <f>DATOS!$E1247*DATOS!$F1247</f>
        <v>106400</v>
      </c>
    </row>
    <row r="1248" spans="1:7" x14ac:dyDescent="0.3">
      <c r="A1248" s="10">
        <v>41961</v>
      </c>
      <c r="B1248" s="9" t="s">
        <v>19</v>
      </c>
      <c r="C1248" s="9" t="s">
        <v>27</v>
      </c>
      <c r="D1248" s="9" t="s">
        <v>33</v>
      </c>
      <c r="E1248" s="9">
        <v>31</v>
      </c>
      <c r="F1248" s="9">
        <v>650</v>
      </c>
      <c r="G1248" s="9">
        <f>DATOS!$E1248*DATOS!$F1248</f>
        <v>20150</v>
      </c>
    </row>
    <row r="1249" spans="1:7" x14ac:dyDescent="0.3">
      <c r="A1249" s="10">
        <v>40563</v>
      </c>
      <c r="B1249" s="9" t="s">
        <v>19</v>
      </c>
      <c r="C1249" s="9" t="s">
        <v>25</v>
      </c>
      <c r="D1249" s="9" t="s">
        <v>31</v>
      </c>
      <c r="E1249" s="9">
        <v>82</v>
      </c>
      <c r="F1249" s="9">
        <v>800</v>
      </c>
      <c r="G1249" s="9">
        <f>DATOS!$E1249*DATOS!$F1249</f>
        <v>65600</v>
      </c>
    </row>
    <row r="1250" spans="1:7" x14ac:dyDescent="0.3">
      <c r="A1250" s="10">
        <v>41602</v>
      </c>
      <c r="B1250" s="9" t="s">
        <v>19</v>
      </c>
      <c r="C1250" s="9" t="s">
        <v>29</v>
      </c>
      <c r="D1250" s="9" t="s">
        <v>31</v>
      </c>
      <c r="E1250" s="9">
        <v>76</v>
      </c>
      <c r="F1250" s="9">
        <v>800</v>
      </c>
      <c r="G1250" s="9">
        <f>DATOS!$E1250*DATOS!$F1250</f>
        <v>60800</v>
      </c>
    </row>
    <row r="1251" spans="1:7" x14ac:dyDescent="0.3">
      <c r="A1251" s="10">
        <v>40600</v>
      </c>
      <c r="B1251" s="9" t="s">
        <v>19</v>
      </c>
      <c r="C1251" s="9" t="s">
        <v>27</v>
      </c>
      <c r="D1251" s="9" t="s">
        <v>37</v>
      </c>
      <c r="E1251" s="9">
        <v>27</v>
      </c>
      <c r="F1251" s="9">
        <v>1200</v>
      </c>
      <c r="G1251" s="9">
        <f>DATOS!$E1251*DATOS!$F1251</f>
        <v>32400</v>
      </c>
    </row>
    <row r="1252" spans="1:7" x14ac:dyDescent="0.3">
      <c r="A1252" s="10">
        <v>41858</v>
      </c>
      <c r="B1252" s="9" t="s">
        <v>19</v>
      </c>
      <c r="C1252" s="9" t="s">
        <v>24</v>
      </c>
      <c r="D1252" s="9" t="s">
        <v>33</v>
      </c>
      <c r="E1252" s="9">
        <v>8</v>
      </c>
      <c r="F1252" s="9">
        <v>650</v>
      </c>
      <c r="G1252" s="9">
        <f>DATOS!$E1252*DATOS!$F1252</f>
        <v>5200</v>
      </c>
    </row>
    <row r="1253" spans="1:7" x14ac:dyDescent="0.3">
      <c r="A1253" s="10">
        <v>40918</v>
      </c>
      <c r="B1253" s="9" t="s">
        <v>19</v>
      </c>
      <c r="C1253" s="9" t="s">
        <v>25</v>
      </c>
      <c r="D1253" s="9" t="s">
        <v>32</v>
      </c>
      <c r="E1253" s="9">
        <v>2</v>
      </c>
      <c r="F1253" s="9">
        <v>820</v>
      </c>
      <c r="G1253" s="9">
        <f>DATOS!$E1253*DATOS!$F1253</f>
        <v>1640</v>
      </c>
    </row>
    <row r="1254" spans="1:7" x14ac:dyDescent="0.3">
      <c r="A1254" s="10">
        <v>41333</v>
      </c>
      <c r="B1254" s="9" t="s">
        <v>19</v>
      </c>
      <c r="C1254" s="9" t="s">
        <v>27</v>
      </c>
      <c r="D1254" s="9" t="s">
        <v>31</v>
      </c>
      <c r="E1254" s="9">
        <v>19</v>
      </c>
      <c r="F1254" s="9">
        <v>800</v>
      </c>
      <c r="G1254" s="9">
        <f>DATOS!$E1254*DATOS!$F1254</f>
        <v>15200</v>
      </c>
    </row>
    <row r="1255" spans="1:7" x14ac:dyDescent="0.3">
      <c r="A1255" s="10">
        <v>41357</v>
      </c>
      <c r="B1255" s="9" t="s">
        <v>19</v>
      </c>
      <c r="C1255" s="9" t="s">
        <v>26</v>
      </c>
      <c r="D1255" s="9" t="s">
        <v>30</v>
      </c>
      <c r="E1255" s="9">
        <v>85</v>
      </c>
      <c r="F1255" s="9">
        <v>450</v>
      </c>
      <c r="G1255" s="9">
        <f>DATOS!$E1255*DATOS!$F1255</f>
        <v>38250</v>
      </c>
    </row>
    <row r="1256" spans="1:7" x14ac:dyDescent="0.3">
      <c r="A1256" s="10">
        <v>41888</v>
      </c>
      <c r="B1256" s="9" t="s">
        <v>19</v>
      </c>
      <c r="C1256" s="9" t="s">
        <v>29</v>
      </c>
      <c r="D1256" s="9" t="s">
        <v>33</v>
      </c>
      <c r="E1256" s="9">
        <v>47</v>
      </c>
      <c r="F1256" s="9">
        <v>650</v>
      </c>
      <c r="G1256" s="9">
        <f>DATOS!$E1256*DATOS!$F1256</f>
        <v>30550</v>
      </c>
    </row>
    <row r="1257" spans="1:7" x14ac:dyDescent="0.3">
      <c r="A1257" s="10">
        <v>42004</v>
      </c>
      <c r="B1257" s="9" t="s">
        <v>19</v>
      </c>
      <c r="C1257" s="9" t="s">
        <v>29</v>
      </c>
      <c r="D1257" s="9" t="s">
        <v>30</v>
      </c>
      <c r="E1257" s="9">
        <v>140</v>
      </c>
      <c r="F1257" s="9">
        <v>450</v>
      </c>
      <c r="G1257" s="9">
        <f>DATOS!$E1257*DATOS!$F1257</f>
        <v>63000</v>
      </c>
    </row>
    <row r="1258" spans="1:7" x14ac:dyDescent="0.3">
      <c r="A1258" s="10">
        <v>41180</v>
      </c>
      <c r="B1258" s="9" t="s">
        <v>19</v>
      </c>
      <c r="C1258" s="9" t="s">
        <v>25</v>
      </c>
      <c r="D1258" s="9" t="s">
        <v>32</v>
      </c>
      <c r="E1258" s="9">
        <v>116</v>
      </c>
      <c r="F1258" s="9">
        <v>820</v>
      </c>
      <c r="G1258" s="9">
        <f>DATOS!$E1258*DATOS!$F1258</f>
        <v>95120</v>
      </c>
    </row>
    <row r="1259" spans="1:7" x14ac:dyDescent="0.3">
      <c r="A1259" s="10">
        <v>40358</v>
      </c>
      <c r="B1259" s="9" t="s">
        <v>19</v>
      </c>
      <c r="C1259" s="9" t="s">
        <v>24</v>
      </c>
      <c r="D1259" s="9" t="s">
        <v>32</v>
      </c>
      <c r="E1259" s="9">
        <v>11</v>
      </c>
      <c r="F1259" s="9">
        <v>820</v>
      </c>
      <c r="G1259" s="9">
        <f>DATOS!$E1259*DATOS!$F1259</f>
        <v>9020</v>
      </c>
    </row>
    <row r="1260" spans="1:7" x14ac:dyDescent="0.3">
      <c r="A1260" s="10">
        <v>40544</v>
      </c>
      <c r="B1260" s="9" t="s">
        <v>19</v>
      </c>
      <c r="C1260" s="9" t="s">
        <v>24</v>
      </c>
      <c r="D1260" s="9" t="s">
        <v>33</v>
      </c>
      <c r="E1260" s="9">
        <v>70</v>
      </c>
      <c r="F1260" s="9">
        <v>650</v>
      </c>
      <c r="G1260" s="9">
        <f>DATOS!$E1260*DATOS!$F1260</f>
        <v>45500</v>
      </c>
    </row>
    <row r="1261" spans="1:7" x14ac:dyDescent="0.3">
      <c r="A1261" s="10">
        <v>41917</v>
      </c>
      <c r="B1261" s="9" t="s">
        <v>19</v>
      </c>
      <c r="C1261" s="9" t="s">
        <v>24</v>
      </c>
      <c r="D1261" s="9" t="s">
        <v>32</v>
      </c>
      <c r="E1261" s="9">
        <v>60</v>
      </c>
      <c r="F1261" s="9">
        <v>950</v>
      </c>
      <c r="G1261" s="9">
        <f>DATOS!$E1261*DATOS!$F1261</f>
        <v>57000</v>
      </c>
    </row>
    <row r="1262" spans="1:7" x14ac:dyDescent="0.3">
      <c r="A1262" s="10">
        <v>41836</v>
      </c>
      <c r="B1262" s="9" t="s">
        <v>19</v>
      </c>
      <c r="C1262" s="9" t="s">
        <v>25</v>
      </c>
      <c r="D1262" s="9" t="s">
        <v>32</v>
      </c>
      <c r="E1262" s="9">
        <v>137</v>
      </c>
      <c r="F1262" s="9">
        <v>820</v>
      </c>
      <c r="G1262" s="9">
        <f>DATOS!$E1262*DATOS!$F1262</f>
        <v>112340</v>
      </c>
    </row>
    <row r="1263" spans="1:7" x14ac:dyDescent="0.3">
      <c r="A1263" s="10">
        <v>41006</v>
      </c>
      <c r="B1263" s="9" t="s">
        <v>19</v>
      </c>
      <c r="C1263" s="9" t="s">
        <v>26</v>
      </c>
      <c r="D1263" s="9" t="s">
        <v>33</v>
      </c>
      <c r="E1263" s="9">
        <v>154</v>
      </c>
      <c r="F1263" s="9">
        <v>650</v>
      </c>
      <c r="G1263" s="9">
        <f>DATOS!$E1263*DATOS!$F1263</f>
        <v>100100</v>
      </c>
    </row>
    <row r="1264" spans="1:7" x14ac:dyDescent="0.3">
      <c r="A1264" s="10">
        <v>40488</v>
      </c>
      <c r="B1264" s="9" t="s">
        <v>19</v>
      </c>
      <c r="C1264" s="9" t="s">
        <v>27</v>
      </c>
      <c r="D1264" s="9" t="s">
        <v>32</v>
      </c>
      <c r="E1264" s="9">
        <v>2</v>
      </c>
      <c r="F1264" s="9">
        <v>820</v>
      </c>
      <c r="G1264" s="9">
        <f>DATOS!$E1264*DATOS!$F1264</f>
        <v>1640</v>
      </c>
    </row>
    <row r="1265" spans="1:7" x14ac:dyDescent="0.3">
      <c r="A1265" s="10">
        <v>41508</v>
      </c>
      <c r="B1265" s="9" t="s">
        <v>19</v>
      </c>
      <c r="C1265" s="9" t="s">
        <v>29</v>
      </c>
      <c r="D1265" s="9" t="s">
        <v>31</v>
      </c>
      <c r="E1265" s="9">
        <v>19</v>
      </c>
      <c r="F1265" s="9">
        <v>800</v>
      </c>
      <c r="G1265" s="9">
        <f>DATOS!$E1265*DATOS!$F1265</f>
        <v>15200</v>
      </c>
    </row>
    <row r="1266" spans="1:7" x14ac:dyDescent="0.3">
      <c r="A1266" s="10">
        <v>41077</v>
      </c>
      <c r="B1266" s="9" t="s">
        <v>19</v>
      </c>
      <c r="C1266" s="9" t="s">
        <v>27</v>
      </c>
      <c r="D1266" s="9" t="s">
        <v>31</v>
      </c>
      <c r="E1266" s="9">
        <v>15</v>
      </c>
      <c r="F1266" s="9">
        <v>800</v>
      </c>
      <c r="G1266" s="9">
        <f>DATOS!$E1266*DATOS!$F1266</f>
        <v>12000</v>
      </c>
    </row>
    <row r="1267" spans="1:7" x14ac:dyDescent="0.3">
      <c r="A1267" s="10">
        <v>41382</v>
      </c>
      <c r="B1267" s="9" t="s">
        <v>19</v>
      </c>
      <c r="C1267" s="9" t="s">
        <v>24</v>
      </c>
      <c r="D1267" s="9" t="s">
        <v>31</v>
      </c>
      <c r="E1267" s="9">
        <v>34</v>
      </c>
      <c r="F1267" s="9">
        <v>800</v>
      </c>
      <c r="G1267" s="9">
        <f>DATOS!$E1267*DATOS!$F1267</f>
        <v>27200</v>
      </c>
    </row>
    <row r="1268" spans="1:7" x14ac:dyDescent="0.3">
      <c r="A1268" s="10">
        <v>41421</v>
      </c>
      <c r="B1268" s="9" t="s">
        <v>19</v>
      </c>
      <c r="C1268" s="9" t="s">
        <v>28</v>
      </c>
      <c r="D1268" s="9" t="s">
        <v>32</v>
      </c>
      <c r="E1268" s="9">
        <v>2</v>
      </c>
      <c r="F1268" s="9">
        <v>820</v>
      </c>
      <c r="G1268" s="9">
        <f>DATOS!$E1268*DATOS!$F1268</f>
        <v>1640</v>
      </c>
    </row>
    <row r="1269" spans="1:7" x14ac:dyDescent="0.3">
      <c r="A1269" s="10">
        <v>40593</v>
      </c>
      <c r="B1269" s="9" t="s">
        <v>19</v>
      </c>
      <c r="C1269" s="9" t="s">
        <v>29</v>
      </c>
      <c r="D1269" s="9" t="s">
        <v>31</v>
      </c>
      <c r="E1269" s="9">
        <v>165</v>
      </c>
      <c r="F1269" s="9">
        <v>800</v>
      </c>
      <c r="G1269" s="9">
        <f>DATOS!$E1269*DATOS!$F1269</f>
        <v>132000</v>
      </c>
    </row>
    <row r="1270" spans="1:7" x14ac:dyDescent="0.3">
      <c r="A1270" s="10">
        <v>40861</v>
      </c>
      <c r="B1270" s="9" t="s">
        <v>19</v>
      </c>
      <c r="C1270" s="9" t="s">
        <v>24</v>
      </c>
      <c r="D1270" s="9" t="s">
        <v>33</v>
      </c>
      <c r="E1270" s="9">
        <v>85</v>
      </c>
      <c r="F1270" s="9">
        <v>650</v>
      </c>
      <c r="G1270" s="9">
        <f>DATOS!$E1270*DATOS!$F1270</f>
        <v>55250</v>
      </c>
    </row>
    <row r="1271" spans="1:7" x14ac:dyDescent="0.3">
      <c r="A1271" s="10">
        <v>41661</v>
      </c>
      <c r="B1271" s="9" t="s">
        <v>20</v>
      </c>
      <c r="C1271" s="9" t="s">
        <v>27</v>
      </c>
      <c r="D1271" s="9" t="s">
        <v>37</v>
      </c>
      <c r="E1271" s="9">
        <v>7</v>
      </c>
      <c r="F1271" s="9">
        <v>1200</v>
      </c>
      <c r="G1271" s="9">
        <f>DATOS!$E1271*DATOS!$F1271</f>
        <v>8400</v>
      </c>
    </row>
    <row r="1272" spans="1:7" x14ac:dyDescent="0.3">
      <c r="A1272" s="10">
        <v>41320</v>
      </c>
      <c r="B1272" s="9" t="s">
        <v>20</v>
      </c>
      <c r="C1272" s="9" t="s">
        <v>27</v>
      </c>
      <c r="D1272" s="9" t="s">
        <v>31</v>
      </c>
      <c r="E1272" s="9">
        <v>63</v>
      </c>
      <c r="F1272" s="9">
        <v>800</v>
      </c>
      <c r="G1272" s="9">
        <f>DATOS!$E1272*DATOS!$F1272</f>
        <v>50400</v>
      </c>
    </row>
    <row r="1273" spans="1:7" x14ac:dyDescent="0.3">
      <c r="A1273" s="10">
        <v>40834</v>
      </c>
      <c r="B1273" s="9" t="s">
        <v>20</v>
      </c>
      <c r="C1273" s="9" t="s">
        <v>25</v>
      </c>
      <c r="D1273" s="9" t="s">
        <v>32</v>
      </c>
      <c r="E1273" s="9">
        <v>39</v>
      </c>
      <c r="F1273" s="9">
        <v>820</v>
      </c>
      <c r="G1273" s="9">
        <f>DATOS!$E1273*DATOS!$F1273</f>
        <v>31980</v>
      </c>
    </row>
    <row r="1274" spans="1:7" x14ac:dyDescent="0.3">
      <c r="A1274" s="10">
        <v>41025</v>
      </c>
      <c r="B1274" s="9" t="s">
        <v>20</v>
      </c>
      <c r="C1274" s="9" t="s">
        <v>25</v>
      </c>
      <c r="D1274" s="9" t="s">
        <v>31</v>
      </c>
      <c r="E1274" s="9">
        <v>140</v>
      </c>
      <c r="F1274" s="9">
        <v>800</v>
      </c>
      <c r="G1274" s="9">
        <f>DATOS!$E1274*DATOS!$F1274</f>
        <v>112000</v>
      </c>
    </row>
    <row r="1275" spans="1:7" x14ac:dyDescent="0.3">
      <c r="A1275" s="10">
        <v>41997</v>
      </c>
      <c r="B1275" s="9" t="s">
        <v>20</v>
      </c>
      <c r="C1275" s="9" t="s">
        <v>24</v>
      </c>
      <c r="D1275" s="9" t="s">
        <v>30</v>
      </c>
      <c r="E1275" s="9">
        <v>70</v>
      </c>
      <c r="F1275" s="9">
        <v>450</v>
      </c>
      <c r="G1275" s="9">
        <f>DATOS!$E1275*DATOS!$F1275</f>
        <v>31500</v>
      </c>
    </row>
    <row r="1276" spans="1:7" x14ac:dyDescent="0.3">
      <c r="A1276" s="10">
        <v>41529</v>
      </c>
      <c r="B1276" s="9" t="s">
        <v>20</v>
      </c>
      <c r="C1276" s="9" t="s">
        <v>28</v>
      </c>
      <c r="D1276" s="9" t="s">
        <v>32</v>
      </c>
      <c r="E1276" s="9">
        <v>4</v>
      </c>
      <c r="F1276" s="9">
        <v>950</v>
      </c>
      <c r="G1276" s="9">
        <f>DATOS!$E1276*DATOS!$F1276</f>
        <v>3800</v>
      </c>
    </row>
    <row r="1277" spans="1:7" x14ac:dyDescent="0.3">
      <c r="A1277" s="10">
        <v>40605</v>
      </c>
      <c r="B1277" s="9" t="s">
        <v>20</v>
      </c>
      <c r="C1277" s="9" t="s">
        <v>27</v>
      </c>
      <c r="D1277" s="9" t="s">
        <v>32</v>
      </c>
      <c r="E1277" s="9">
        <v>5</v>
      </c>
      <c r="F1277" s="9">
        <v>820</v>
      </c>
      <c r="G1277" s="9">
        <f>DATOS!$E1277*DATOS!$F1277</f>
        <v>4100</v>
      </c>
    </row>
    <row r="1278" spans="1:7" x14ac:dyDescent="0.3">
      <c r="A1278" s="10">
        <v>41899</v>
      </c>
      <c r="B1278" s="9" t="s">
        <v>20</v>
      </c>
      <c r="C1278" s="9" t="s">
        <v>25</v>
      </c>
      <c r="D1278" s="9" t="s">
        <v>31</v>
      </c>
      <c r="E1278" s="9">
        <v>124</v>
      </c>
      <c r="F1278" s="9">
        <v>800</v>
      </c>
      <c r="G1278" s="9">
        <f>DATOS!$E1278*DATOS!$F1278</f>
        <v>99200</v>
      </c>
    </row>
    <row r="1279" spans="1:7" x14ac:dyDescent="0.3">
      <c r="A1279" s="10">
        <v>41229</v>
      </c>
      <c r="B1279" s="9" t="s">
        <v>20</v>
      </c>
      <c r="C1279" s="9" t="s">
        <v>24</v>
      </c>
      <c r="D1279" s="9" t="s">
        <v>30</v>
      </c>
      <c r="E1279" s="9">
        <v>59</v>
      </c>
      <c r="F1279" s="9">
        <v>450</v>
      </c>
      <c r="G1279" s="9">
        <f>DATOS!$E1279*DATOS!$F1279</f>
        <v>26550</v>
      </c>
    </row>
    <row r="1280" spans="1:7" x14ac:dyDescent="0.3">
      <c r="A1280" s="10">
        <v>41855</v>
      </c>
      <c r="B1280" s="9" t="s">
        <v>20</v>
      </c>
      <c r="C1280" s="9" t="s">
        <v>29</v>
      </c>
      <c r="D1280" s="9" t="s">
        <v>33</v>
      </c>
      <c r="E1280" s="9">
        <v>234</v>
      </c>
      <c r="F1280" s="9">
        <v>650</v>
      </c>
      <c r="G1280" s="9">
        <f>DATOS!$E1280*DATOS!$F1280</f>
        <v>152100</v>
      </c>
    </row>
    <row r="1281" spans="1:7" x14ac:dyDescent="0.3">
      <c r="A1281" s="10">
        <v>40555</v>
      </c>
      <c r="B1281" s="9" t="s">
        <v>20</v>
      </c>
      <c r="C1281" s="9" t="s">
        <v>28</v>
      </c>
      <c r="D1281" s="9" t="s">
        <v>31</v>
      </c>
      <c r="E1281" s="9">
        <v>13</v>
      </c>
      <c r="F1281" s="9">
        <v>800</v>
      </c>
      <c r="G1281" s="9">
        <f>DATOS!$E1281*DATOS!$F1281</f>
        <v>10400</v>
      </c>
    </row>
    <row r="1282" spans="1:7" x14ac:dyDescent="0.3">
      <c r="A1282" s="10">
        <v>41190</v>
      </c>
      <c r="B1282" s="9" t="s">
        <v>20</v>
      </c>
      <c r="C1282" s="9" t="s">
        <v>24</v>
      </c>
      <c r="D1282" s="9" t="s">
        <v>32</v>
      </c>
      <c r="E1282" s="9">
        <v>2</v>
      </c>
      <c r="F1282" s="9">
        <v>820</v>
      </c>
      <c r="G1282" s="9">
        <f>DATOS!$E1282*DATOS!$F1282</f>
        <v>1640</v>
      </c>
    </row>
    <row r="1283" spans="1:7" x14ac:dyDescent="0.3">
      <c r="A1283" s="10">
        <v>41741</v>
      </c>
      <c r="B1283" s="9" t="s">
        <v>20</v>
      </c>
      <c r="C1283" s="9" t="s">
        <v>27</v>
      </c>
      <c r="D1283" s="9" t="s">
        <v>32</v>
      </c>
      <c r="E1283" s="9">
        <v>23</v>
      </c>
      <c r="F1283" s="9">
        <v>820</v>
      </c>
      <c r="G1283" s="9">
        <f>DATOS!$E1283*DATOS!$F1283</f>
        <v>18860</v>
      </c>
    </row>
    <row r="1284" spans="1:7" x14ac:dyDescent="0.3">
      <c r="A1284" s="10">
        <v>41421</v>
      </c>
      <c r="B1284" s="9" t="s">
        <v>20</v>
      </c>
      <c r="C1284" s="9" t="s">
        <v>28</v>
      </c>
      <c r="D1284" s="9" t="s">
        <v>32</v>
      </c>
      <c r="E1284" s="9">
        <v>6</v>
      </c>
      <c r="F1284" s="9">
        <v>950</v>
      </c>
      <c r="G1284" s="9">
        <f>DATOS!$E1284*DATOS!$F1284</f>
        <v>5700</v>
      </c>
    </row>
    <row r="1285" spans="1:7" x14ac:dyDescent="0.3">
      <c r="A1285" s="10">
        <v>40768</v>
      </c>
      <c r="B1285" s="9" t="s">
        <v>20</v>
      </c>
      <c r="C1285" s="9" t="s">
        <v>25</v>
      </c>
      <c r="D1285" s="9" t="s">
        <v>32</v>
      </c>
      <c r="E1285" s="9">
        <v>98</v>
      </c>
      <c r="F1285" s="9">
        <v>820</v>
      </c>
      <c r="G1285" s="9">
        <f>DATOS!$E1285*DATOS!$F1285</f>
        <v>80360</v>
      </c>
    </row>
    <row r="1286" spans="1:7" x14ac:dyDescent="0.3">
      <c r="A1286" s="10">
        <v>40381</v>
      </c>
      <c r="B1286" s="9" t="s">
        <v>20</v>
      </c>
      <c r="C1286" s="9" t="s">
        <v>26</v>
      </c>
      <c r="D1286" s="9" t="s">
        <v>32</v>
      </c>
      <c r="E1286" s="9">
        <v>111</v>
      </c>
      <c r="F1286" s="9">
        <v>950</v>
      </c>
      <c r="G1286" s="9">
        <f>DATOS!$E1286*DATOS!$F1286</f>
        <v>105450</v>
      </c>
    </row>
    <row r="1287" spans="1:7" x14ac:dyDescent="0.3">
      <c r="A1287" s="10">
        <v>41357</v>
      </c>
      <c r="B1287" s="9" t="s">
        <v>20</v>
      </c>
      <c r="C1287" s="9" t="s">
        <v>28</v>
      </c>
      <c r="D1287" s="9" t="s">
        <v>37</v>
      </c>
      <c r="E1287" s="9">
        <v>14</v>
      </c>
      <c r="F1287" s="9">
        <v>1200</v>
      </c>
      <c r="G1287" s="9">
        <f>DATOS!$E1287*DATOS!$F1287</f>
        <v>16800</v>
      </c>
    </row>
    <row r="1288" spans="1:7" x14ac:dyDescent="0.3">
      <c r="A1288" s="10">
        <v>40740</v>
      </c>
      <c r="B1288" s="9" t="s">
        <v>20</v>
      </c>
      <c r="C1288" s="9" t="s">
        <v>26</v>
      </c>
      <c r="D1288" s="9" t="s">
        <v>33</v>
      </c>
      <c r="E1288" s="9">
        <v>50</v>
      </c>
      <c r="F1288" s="9">
        <v>650</v>
      </c>
      <c r="G1288" s="9">
        <f>DATOS!$E1288*DATOS!$F1288</f>
        <v>32500</v>
      </c>
    </row>
    <row r="1289" spans="1:7" x14ac:dyDescent="0.3">
      <c r="A1289" s="10">
        <v>40902</v>
      </c>
      <c r="B1289" s="9" t="s">
        <v>20</v>
      </c>
      <c r="C1289" s="9" t="s">
        <v>28</v>
      </c>
      <c r="D1289" s="9" t="s">
        <v>31</v>
      </c>
      <c r="E1289" s="9">
        <v>1</v>
      </c>
      <c r="F1289" s="9">
        <v>800</v>
      </c>
      <c r="G1289" s="9">
        <f>DATOS!$E1289*DATOS!$F1289</f>
        <v>800</v>
      </c>
    </row>
    <row r="1290" spans="1:7" x14ac:dyDescent="0.3">
      <c r="A1290" s="10">
        <v>41120</v>
      </c>
      <c r="B1290" s="9" t="s">
        <v>20</v>
      </c>
      <c r="C1290" s="9" t="s">
        <v>28</v>
      </c>
      <c r="D1290" s="9" t="s">
        <v>32</v>
      </c>
      <c r="E1290" s="9">
        <v>2</v>
      </c>
      <c r="F1290" s="9">
        <v>950</v>
      </c>
      <c r="G1290" s="9">
        <f>DATOS!$E1290*DATOS!$F1290</f>
        <v>1900</v>
      </c>
    </row>
    <row r="1291" spans="1:7" x14ac:dyDescent="0.3">
      <c r="A1291" s="10">
        <v>40716</v>
      </c>
      <c r="B1291" s="9" t="s">
        <v>20</v>
      </c>
      <c r="C1291" s="9" t="s">
        <v>29</v>
      </c>
      <c r="D1291" s="9" t="s">
        <v>32</v>
      </c>
      <c r="E1291" s="9">
        <v>82</v>
      </c>
      <c r="F1291" s="9">
        <v>820</v>
      </c>
      <c r="G1291" s="9">
        <f>DATOS!$E1291*DATOS!$F1291</f>
        <v>67240</v>
      </c>
    </row>
    <row r="1292" spans="1:7" x14ac:dyDescent="0.3">
      <c r="A1292" s="10">
        <v>41867</v>
      </c>
      <c r="B1292" s="9" t="s">
        <v>20</v>
      </c>
      <c r="C1292" s="9" t="s">
        <v>24</v>
      </c>
      <c r="D1292" s="9" t="s">
        <v>31</v>
      </c>
      <c r="E1292" s="9">
        <v>19</v>
      </c>
      <c r="F1292" s="9">
        <v>800</v>
      </c>
      <c r="G1292" s="9">
        <f>DATOS!$E1292*DATOS!$F1292</f>
        <v>15200</v>
      </c>
    </row>
    <row r="1293" spans="1:7" x14ac:dyDescent="0.3">
      <c r="A1293" s="10">
        <v>41944</v>
      </c>
      <c r="B1293" s="9" t="s">
        <v>20</v>
      </c>
      <c r="C1293" s="9" t="s">
        <v>26</v>
      </c>
      <c r="D1293" s="9" t="s">
        <v>32</v>
      </c>
      <c r="E1293" s="9">
        <v>35</v>
      </c>
      <c r="F1293" s="9">
        <v>950</v>
      </c>
      <c r="G1293" s="9">
        <f>DATOS!$E1293*DATOS!$F1293</f>
        <v>33250</v>
      </c>
    </row>
    <row r="1294" spans="1:7" x14ac:dyDescent="0.3">
      <c r="A1294" s="10">
        <v>41274</v>
      </c>
      <c r="B1294" s="9" t="s">
        <v>20</v>
      </c>
      <c r="C1294" s="9" t="s">
        <v>25</v>
      </c>
      <c r="D1294" s="9" t="s">
        <v>31</v>
      </c>
      <c r="E1294" s="9">
        <v>86</v>
      </c>
      <c r="F1294" s="9">
        <v>800</v>
      </c>
      <c r="G1294" s="9">
        <f>DATOS!$E1294*DATOS!$F1294</f>
        <v>68800</v>
      </c>
    </row>
    <row r="1295" spans="1:7" x14ac:dyDescent="0.3">
      <c r="A1295" s="10">
        <v>41916</v>
      </c>
      <c r="B1295" s="9" t="s">
        <v>20</v>
      </c>
      <c r="C1295" s="9" t="s">
        <v>26</v>
      </c>
      <c r="D1295" s="9" t="s">
        <v>37</v>
      </c>
      <c r="E1295" s="9">
        <v>39</v>
      </c>
      <c r="F1295" s="9">
        <v>1200</v>
      </c>
      <c r="G1295" s="9">
        <f>DATOS!$E1295*DATOS!$F1295</f>
        <v>46800</v>
      </c>
    </row>
    <row r="1296" spans="1:7" x14ac:dyDescent="0.3">
      <c r="A1296" s="10">
        <v>41865</v>
      </c>
      <c r="B1296" s="9" t="s">
        <v>20</v>
      </c>
      <c r="C1296" s="9" t="s">
        <v>28</v>
      </c>
      <c r="D1296" s="9" t="s">
        <v>30</v>
      </c>
      <c r="E1296" s="9">
        <v>2</v>
      </c>
      <c r="F1296" s="9">
        <v>450</v>
      </c>
      <c r="G1296" s="9">
        <f>DATOS!$E1296*DATOS!$F1296</f>
        <v>900</v>
      </c>
    </row>
    <row r="1297" spans="1:7" x14ac:dyDescent="0.3">
      <c r="A1297" s="10">
        <v>41521</v>
      </c>
      <c r="B1297" s="9" t="s">
        <v>20</v>
      </c>
      <c r="C1297" s="9" t="s">
        <v>29</v>
      </c>
      <c r="D1297" s="9" t="s">
        <v>32</v>
      </c>
      <c r="E1297" s="9">
        <v>51</v>
      </c>
      <c r="F1297" s="9">
        <v>820</v>
      </c>
      <c r="G1297" s="9">
        <f>DATOS!$E1297*DATOS!$F1297</f>
        <v>41820</v>
      </c>
    </row>
    <row r="1298" spans="1:7" x14ac:dyDescent="0.3">
      <c r="A1298" s="10">
        <v>40348</v>
      </c>
      <c r="B1298" s="9" t="s">
        <v>20</v>
      </c>
      <c r="C1298" s="9" t="s">
        <v>24</v>
      </c>
      <c r="D1298" s="9" t="s">
        <v>37</v>
      </c>
      <c r="E1298" s="9">
        <v>135</v>
      </c>
      <c r="F1298" s="9">
        <v>1200</v>
      </c>
      <c r="G1298" s="9">
        <f>DATOS!$E1298*DATOS!$F1298</f>
        <v>162000</v>
      </c>
    </row>
    <row r="1299" spans="1:7" x14ac:dyDescent="0.3">
      <c r="A1299" s="10">
        <v>40821</v>
      </c>
      <c r="B1299" s="9" t="s">
        <v>20</v>
      </c>
      <c r="C1299" s="9" t="s">
        <v>26</v>
      </c>
      <c r="D1299" s="9" t="s">
        <v>31</v>
      </c>
      <c r="E1299" s="9">
        <v>112</v>
      </c>
      <c r="F1299" s="9">
        <v>800</v>
      </c>
      <c r="G1299" s="9">
        <f>DATOS!$E1299*DATOS!$F1299</f>
        <v>89600</v>
      </c>
    </row>
    <row r="1300" spans="1:7" x14ac:dyDescent="0.3">
      <c r="A1300" s="10">
        <v>40255</v>
      </c>
      <c r="B1300" s="9" t="s">
        <v>20</v>
      </c>
      <c r="C1300" s="9" t="s">
        <v>28</v>
      </c>
      <c r="D1300" s="9" t="s">
        <v>32</v>
      </c>
      <c r="E1300" s="9">
        <v>4</v>
      </c>
      <c r="F1300" s="9">
        <v>820</v>
      </c>
      <c r="G1300" s="9">
        <f>DATOS!$E1300*DATOS!$F1300</f>
        <v>3280</v>
      </c>
    </row>
    <row r="1301" spans="1:7" x14ac:dyDescent="0.3">
      <c r="A1301" s="10">
        <v>41648</v>
      </c>
      <c r="B1301" s="9" t="s">
        <v>20</v>
      </c>
      <c r="C1301" s="9" t="s">
        <v>25</v>
      </c>
      <c r="D1301" s="9" t="s">
        <v>30</v>
      </c>
      <c r="E1301" s="9">
        <v>65</v>
      </c>
      <c r="F1301" s="9">
        <v>450</v>
      </c>
      <c r="G1301" s="9">
        <f>DATOS!$E1301*DATOS!$F1301</f>
        <v>29250</v>
      </c>
    </row>
    <row r="1302" spans="1:7" x14ac:dyDescent="0.3">
      <c r="A1302" s="10">
        <v>40539</v>
      </c>
      <c r="B1302" s="9" t="s">
        <v>20</v>
      </c>
      <c r="C1302" s="9" t="s">
        <v>24</v>
      </c>
      <c r="D1302" s="9" t="s">
        <v>31</v>
      </c>
      <c r="E1302" s="9">
        <v>36</v>
      </c>
      <c r="F1302" s="9">
        <v>800</v>
      </c>
      <c r="G1302" s="9">
        <f>DATOS!$E1302*DATOS!$F1302</f>
        <v>28800</v>
      </c>
    </row>
    <row r="1303" spans="1:7" x14ac:dyDescent="0.3">
      <c r="A1303" s="10">
        <v>40810</v>
      </c>
      <c r="B1303" s="9" t="s">
        <v>20</v>
      </c>
      <c r="C1303" s="9" t="s">
        <v>26</v>
      </c>
      <c r="D1303" s="9" t="s">
        <v>32</v>
      </c>
      <c r="E1303" s="9">
        <v>7</v>
      </c>
      <c r="F1303" s="9">
        <v>820</v>
      </c>
      <c r="G1303" s="9">
        <f>DATOS!$E1303*DATOS!$F1303</f>
        <v>5740</v>
      </c>
    </row>
    <row r="1304" spans="1:7" x14ac:dyDescent="0.3">
      <c r="A1304" s="10">
        <v>40633</v>
      </c>
      <c r="B1304" s="9" t="s">
        <v>20</v>
      </c>
      <c r="C1304" s="9" t="s">
        <v>27</v>
      </c>
      <c r="D1304" s="9" t="s">
        <v>32</v>
      </c>
      <c r="E1304" s="9">
        <v>31</v>
      </c>
      <c r="F1304" s="9">
        <v>950</v>
      </c>
      <c r="G1304" s="9">
        <f>DATOS!$E1304*DATOS!$F1304</f>
        <v>29450</v>
      </c>
    </row>
    <row r="1305" spans="1:7" x14ac:dyDescent="0.3">
      <c r="A1305" s="10">
        <v>41027</v>
      </c>
      <c r="B1305" s="9" t="s">
        <v>20</v>
      </c>
      <c r="C1305" s="9" t="s">
        <v>26</v>
      </c>
      <c r="D1305" s="9" t="s">
        <v>32</v>
      </c>
      <c r="E1305" s="9">
        <v>1</v>
      </c>
      <c r="F1305" s="9">
        <v>950</v>
      </c>
      <c r="G1305" s="9">
        <f>DATOS!$E1305*DATOS!$F1305</f>
        <v>950</v>
      </c>
    </row>
    <row r="1306" spans="1:7" x14ac:dyDescent="0.3">
      <c r="A1306" s="10">
        <v>41631</v>
      </c>
      <c r="B1306" s="9" t="s">
        <v>20</v>
      </c>
      <c r="C1306" s="9" t="s">
        <v>25</v>
      </c>
      <c r="D1306" s="9" t="s">
        <v>31</v>
      </c>
      <c r="E1306" s="9">
        <v>196</v>
      </c>
      <c r="F1306" s="9">
        <v>800</v>
      </c>
      <c r="G1306" s="9">
        <f>DATOS!$E1306*DATOS!$F1306</f>
        <v>156800</v>
      </c>
    </row>
    <row r="1307" spans="1:7" x14ac:dyDescent="0.3">
      <c r="A1307" s="10">
        <v>41351</v>
      </c>
      <c r="B1307" s="9" t="s">
        <v>20</v>
      </c>
      <c r="C1307" s="9" t="s">
        <v>27</v>
      </c>
      <c r="D1307" s="9" t="s">
        <v>31</v>
      </c>
      <c r="E1307" s="9">
        <v>51</v>
      </c>
      <c r="F1307" s="9">
        <v>800</v>
      </c>
      <c r="G1307" s="9">
        <f>DATOS!$E1307*DATOS!$F1307</f>
        <v>40800</v>
      </c>
    </row>
    <row r="1308" spans="1:7" x14ac:dyDescent="0.3">
      <c r="A1308" s="10">
        <v>40587</v>
      </c>
      <c r="B1308" s="9" t="s">
        <v>20</v>
      </c>
      <c r="C1308" s="9" t="s">
        <v>25</v>
      </c>
      <c r="D1308" s="9" t="s">
        <v>30</v>
      </c>
      <c r="E1308" s="9">
        <v>81</v>
      </c>
      <c r="F1308" s="9">
        <v>450</v>
      </c>
      <c r="G1308" s="9">
        <f>DATOS!$E1308*DATOS!$F1308</f>
        <v>36450</v>
      </c>
    </row>
    <row r="1309" spans="1:7" x14ac:dyDescent="0.3">
      <c r="A1309" s="10">
        <v>41292</v>
      </c>
      <c r="B1309" s="9" t="s">
        <v>20</v>
      </c>
      <c r="C1309" s="9" t="s">
        <v>29</v>
      </c>
      <c r="D1309" s="9" t="s">
        <v>32</v>
      </c>
      <c r="E1309" s="9">
        <v>62</v>
      </c>
      <c r="F1309" s="9">
        <v>820</v>
      </c>
      <c r="G1309" s="9">
        <f>DATOS!$E1309*DATOS!$F1309</f>
        <v>50840</v>
      </c>
    </row>
    <row r="1310" spans="1:7" x14ac:dyDescent="0.3">
      <c r="A1310" s="10">
        <v>41007</v>
      </c>
      <c r="B1310" s="9" t="s">
        <v>20</v>
      </c>
      <c r="C1310" s="9" t="s">
        <v>29</v>
      </c>
      <c r="D1310" s="9" t="s">
        <v>32</v>
      </c>
      <c r="E1310" s="9">
        <v>140</v>
      </c>
      <c r="F1310" s="9">
        <v>820</v>
      </c>
      <c r="G1310" s="9">
        <f>DATOS!$E1310*DATOS!$F1310</f>
        <v>114800</v>
      </c>
    </row>
    <row r="1311" spans="1:7" x14ac:dyDescent="0.3">
      <c r="A1311" s="10">
        <v>41733</v>
      </c>
      <c r="B1311" s="9" t="s">
        <v>20</v>
      </c>
      <c r="C1311" s="9" t="s">
        <v>24</v>
      </c>
      <c r="D1311" s="9" t="s">
        <v>37</v>
      </c>
      <c r="E1311" s="9">
        <v>134</v>
      </c>
      <c r="F1311" s="9">
        <v>1200</v>
      </c>
      <c r="G1311" s="9">
        <f>DATOS!$E1311*DATOS!$F1311</f>
        <v>160800</v>
      </c>
    </row>
    <row r="1312" spans="1:7" x14ac:dyDescent="0.3">
      <c r="A1312" s="10">
        <v>40244</v>
      </c>
      <c r="B1312" s="9" t="s">
        <v>20</v>
      </c>
      <c r="C1312" s="9" t="s">
        <v>27</v>
      </c>
      <c r="D1312" s="9" t="s">
        <v>31</v>
      </c>
      <c r="E1312" s="9">
        <v>12</v>
      </c>
      <c r="F1312" s="9">
        <v>800</v>
      </c>
      <c r="G1312" s="9">
        <f>DATOS!$E1312*DATOS!$F1312</f>
        <v>9600</v>
      </c>
    </row>
    <row r="1313" spans="1:7" x14ac:dyDescent="0.3">
      <c r="A1313" s="10">
        <v>40926</v>
      </c>
      <c r="B1313" s="9" t="s">
        <v>20</v>
      </c>
      <c r="C1313" s="9" t="s">
        <v>26</v>
      </c>
      <c r="D1313" s="9" t="s">
        <v>31</v>
      </c>
      <c r="E1313" s="9">
        <v>44</v>
      </c>
      <c r="F1313" s="9">
        <v>800</v>
      </c>
      <c r="G1313" s="9">
        <f>DATOS!$E1313*DATOS!$F1313</f>
        <v>35200</v>
      </c>
    </row>
    <row r="1314" spans="1:7" x14ac:dyDescent="0.3">
      <c r="A1314" s="10">
        <v>40282</v>
      </c>
      <c r="B1314" s="9" t="s">
        <v>20</v>
      </c>
      <c r="C1314" s="9" t="s">
        <v>28</v>
      </c>
      <c r="D1314" s="9" t="s">
        <v>32</v>
      </c>
      <c r="E1314" s="9">
        <v>1</v>
      </c>
      <c r="F1314" s="9">
        <v>820</v>
      </c>
      <c r="G1314" s="9">
        <f>DATOS!$E1314*DATOS!$F1314</f>
        <v>820</v>
      </c>
    </row>
    <row r="1315" spans="1:7" x14ac:dyDescent="0.3">
      <c r="A1315" s="10">
        <v>40776</v>
      </c>
      <c r="B1315" s="9" t="s">
        <v>20</v>
      </c>
      <c r="C1315" s="9" t="s">
        <v>27</v>
      </c>
      <c r="D1315" s="9" t="s">
        <v>32</v>
      </c>
      <c r="E1315" s="9">
        <v>42</v>
      </c>
      <c r="F1315" s="9">
        <v>820</v>
      </c>
      <c r="G1315" s="9">
        <f>DATOS!$E1315*DATOS!$F1315</f>
        <v>34440</v>
      </c>
    </row>
    <row r="1316" spans="1:7" x14ac:dyDescent="0.3">
      <c r="A1316" s="10">
        <v>40540</v>
      </c>
      <c r="B1316" s="9" t="s">
        <v>20</v>
      </c>
      <c r="C1316" s="9" t="s">
        <v>28</v>
      </c>
      <c r="D1316" s="9" t="s">
        <v>30</v>
      </c>
      <c r="E1316" s="9">
        <v>7</v>
      </c>
      <c r="F1316" s="9">
        <v>450</v>
      </c>
      <c r="G1316" s="9">
        <f>DATOS!$E1316*DATOS!$F1316</f>
        <v>3150</v>
      </c>
    </row>
    <row r="1317" spans="1:7" x14ac:dyDescent="0.3">
      <c r="A1317" s="10">
        <v>40568</v>
      </c>
      <c r="B1317" s="9" t="s">
        <v>20</v>
      </c>
      <c r="C1317" s="9" t="s">
        <v>25</v>
      </c>
      <c r="D1317" s="9" t="s">
        <v>32</v>
      </c>
      <c r="E1317" s="9">
        <v>44</v>
      </c>
      <c r="F1317" s="9">
        <v>820</v>
      </c>
      <c r="G1317" s="9">
        <f>DATOS!$E1317*DATOS!$F1317</f>
        <v>36080</v>
      </c>
    </row>
    <row r="1318" spans="1:7" x14ac:dyDescent="0.3">
      <c r="A1318" s="10">
        <v>41870</v>
      </c>
      <c r="B1318" s="9" t="s">
        <v>20</v>
      </c>
      <c r="C1318" s="9" t="s">
        <v>27</v>
      </c>
      <c r="D1318" s="9" t="s">
        <v>32</v>
      </c>
      <c r="E1318" s="9">
        <v>16</v>
      </c>
      <c r="F1318" s="9">
        <v>820</v>
      </c>
      <c r="G1318" s="9">
        <f>DATOS!$E1318*DATOS!$F1318</f>
        <v>13120</v>
      </c>
    </row>
    <row r="1319" spans="1:7" x14ac:dyDescent="0.3">
      <c r="A1319" s="10">
        <v>40585</v>
      </c>
      <c r="B1319" s="9" t="s">
        <v>20</v>
      </c>
      <c r="C1319" s="9" t="s">
        <v>27</v>
      </c>
      <c r="D1319" s="9" t="s">
        <v>37</v>
      </c>
      <c r="E1319" s="9">
        <v>39</v>
      </c>
      <c r="F1319" s="9">
        <v>1200</v>
      </c>
      <c r="G1319" s="9">
        <f>DATOS!$E1319*DATOS!$F1319</f>
        <v>46800</v>
      </c>
    </row>
    <row r="1320" spans="1:7" x14ac:dyDescent="0.3">
      <c r="A1320" s="10">
        <v>41117</v>
      </c>
      <c r="B1320" s="9" t="s">
        <v>20</v>
      </c>
      <c r="C1320" s="9" t="s">
        <v>27</v>
      </c>
      <c r="D1320" s="9" t="s">
        <v>32</v>
      </c>
      <c r="E1320" s="9">
        <v>30</v>
      </c>
      <c r="F1320" s="9">
        <v>820</v>
      </c>
      <c r="G1320" s="9">
        <f>DATOS!$E1320*DATOS!$F1320</f>
        <v>24600</v>
      </c>
    </row>
    <row r="1321" spans="1:7" x14ac:dyDescent="0.3">
      <c r="A1321" s="10">
        <v>41266</v>
      </c>
      <c r="B1321" s="9" t="s">
        <v>20</v>
      </c>
      <c r="C1321" s="9" t="s">
        <v>29</v>
      </c>
      <c r="D1321" s="9" t="s">
        <v>32</v>
      </c>
      <c r="E1321" s="9">
        <v>192</v>
      </c>
      <c r="F1321" s="9">
        <v>820</v>
      </c>
      <c r="G1321" s="9">
        <f>DATOS!$E1321*DATOS!$F1321</f>
        <v>157440</v>
      </c>
    </row>
    <row r="1322" spans="1:7" x14ac:dyDescent="0.3">
      <c r="A1322" s="10">
        <v>41181</v>
      </c>
      <c r="B1322" s="9" t="s">
        <v>20</v>
      </c>
      <c r="C1322" s="9" t="s">
        <v>29</v>
      </c>
      <c r="D1322" s="9" t="s">
        <v>32</v>
      </c>
      <c r="E1322" s="9">
        <v>125</v>
      </c>
      <c r="F1322" s="9">
        <v>950</v>
      </c>
      <c r="G1322" s="9">
        <f>DATOS!$E1322*DATOS!$F1322</f>
        <v>118750</v>
      </c>
    </row>
    <row r="1323" spans="1:7" x14ac:dyDescent="0.3">
      <c r="A1323" s="10">
        <v>41960</v>
      </c>
      <c r="B1323" s="9" t="s">
        <v>20</v>
      </c>
      <c r="C1323" s="9" t="s">
        <v>29</v>
      </c>
      <c r="D1323" s="9" t="s">
        <v>31</v>
      </c>
      <c r="E1323" s="9">
        <v>25</v>
      </c>
      <c r="F1323" s="9">
        <v>800</v>
      </c>
      <c r="G1323" s="9">
        <f>DATOS!$E1323*DATOS!$F1323</f>
        <v>20000</v>
      </c>
    </row>
    <row r="1324" spans="1:7" x14ac:dyDescent="0.3">
      <c r="A1324" s="10">
        <v>42004</v>
      </c>
      <c r="B1324" s="9" t="s">
        <v>20</v>
      </c>
      <c r="C1324" s="9" t="s">
        <v>24</v>
      </c>
      <c r="D1324" s="9" t="s">
        <v>32</v>
      </c>
      <c r="E1324" s="9">
        <v>30</v>
      </c>
      <c r="F1324" s="9">
        <v>820</v>
      </c>
      <c r="G1324" s="9">
        <f>DATOS!$E1324*DATOS!$F1324</f>
        <v>24600</v>
      </c>
    </row>
    <row r="1325" spans="1:7" x14ac:dyDescent="0.3">
      <c r="A1325" s="10">
        <v>40579</v>
      </c>
      <c r="B1325" s="9" t="s">
        <v>20</v>
      </c>
      <c r="C1325" s="9" t="s">
        <v>24</v>
      </c>
      <c r="D1325" s="9" t="s">
        <v>32</v>
      </c>
      <c r="E1325" s="9">
        <v>17</v>
      </c>
      <c r="F1325" s="9">
        <v>950</v>
      </c>
      <c r="G1325" s="9">
        <f>DATOS!$E1325*DATOS!$F1325</f>
        <v>16150</v>
      </c>
    </row>
    <row r="1326" spans="1:7" x14ac:dyDescent="0.3">
      <c r="A1326" s="10">
        <v>40556</v>
      </c>
      <c r="B1326" s="9" t="s">
        <v>20</v>
      </c>
      <c r="C1326" s="9" t="s">
        <v>24</v>
      </c>
      <c r="D1326" s="9" t="s">
        <v>31</v>
      </c>
      <c r="E1326" s="9">
        <v>29</v>
      </c>
      <c r="F1326" s="9">
        <v>800</v>
      </c>
      <c r="G1326" s="9">
        <f>DATOS!$E1326*DATOS!$F1326</f>
        <v>23200</v>
      </c>
    </row>
    <row r="1327" spans="1:7" x14ac:dyDescent="0.3">
      <c r="A1327" s="10">
        <v>41042</v>
      </c>
      <c r="B1327" s="9" t="s">
        <v>20</v>
      </c>
      <c r="C1327" s="9" t="s">
        <v>28</v>
      </c>
      <c r="D1327" s="9" t="s">
        <v>32</v>
      </c>
      <c r="E1327" s="9">
        <v>15</v>
      </c>
      <c r="F1327" s="9">
        <v>950</v>
      </c>
      <c r="G1327" s="9">
        <f>DATOS!$E1327*DATOS!$F1327</f>
        <v>14250</v>
      </c>
    </row>
    <row r="1328" spans="1:7" x14ac:dyDescent="0.3">
      <c r="A1328" s="10">
        <v>40713</v>
      </c>
      <c r="B1328" s="9" t="s">
        <v>20</v>
      </c>
      <c r="C1328" s="9" t="s">
        <v>27</v>
      </c>
      <c r="D1328" s="9" t="s">
        <v>32</v>
      </c>
      <c r="E1328" s="9">
        <v>1</v>
      </c>
      <c r="F1328" s="9">
        <v>820</v>
      </c>
      <c r="G1328" s="9">
        <f>DATOS!$E1328*DATOS!$F1328</f>
        <v>820</v>
      </c>
    </row>
    <row r="1329" spans="1:7" x14ac:dyDescent="0.3">
      <c r="A1329" s="10">
        <v>41252</v>
      </c>
      <c r="B1329" s="9" t="s">
        <v>20</v>
      </c>
      <c r="C1329" s="9" t="s">
        <v>24</v>
      </c>
      <c r="D1329" s="9" t="s">
        <v>33</v>
      </c>
      <c r="E1329" s="9">
        <v>2</v>
      </c>
      <c r="F1329" s="9">
        <v>650</v>
      </c>
      <c r="G1329" s="9">
        <f>DATOS!$E1329*DATOS!$F1329</f>
        <v>1300</v>
      </c>
    </row>
    <row r="1330" spans="1:7" x14ac:dyDescent="0.3">
      <c r="A1330" s="10">
        <v>41625</v>
      </c>
      <c r="B1330" s="9" t="s">
        <v>20</v>
      </c>
      <c r="C1330" s="9" t="s">
        <v>27</v>
      </c>
      <c r="D1330" s="9" t="s">
        <v>32</v>
      </c>
      <c r="E1330" s="9">
        <v>34</v>
      </c>
      <c r="F1330" s="9">
        <v>820</v>
      </c>
      <c r="G1330" s="9">
        <f>DATOS!$E1330*DATOS!$F1330</f>
        <v>27880</v>
      </c>
    </row>
    <row r="1331" spans="1:7" x14ac:dyDescent="0.3">
      <c r="A1331" s="10">
        <v>41168</v>
      </c>
      <c r="B1331" s="9" t="s">
        <v>20</v>
      </c>
      <c r="C1331" s="9" t="s">
        <v>26</v>
      </c>
      <c r="D1331" s="9" t="s">
        <v>32</v>
      </c>
      <c r="E1331" s="9">
        <v>107</v>
      </c>
      <c r="F1331" s="9">
        <v>820</v>
      </c>
      <c r="G1331" s="9">
        <f>DATOS!$E1331*DATOS!$F1331</f>
        <v>87740</v>
      </c>
    </row>
    <row r="1332" spans="1:7" x14ac:dyDescent="0.3">
      <c r="A1332" s="10">
        <v>40699</v>
      </c>
      <c r="B1332" s="9" t="s">
        <v>20</v>
      </c>
      <c r="C1332" s="9" t="s">
        <v>28</v>
      </c>
      <c r="D1332" s="9" t="s">
        <v>33</v>
      </c>
      <c r="E1332" s="9">
        <v>29</v>
      </c>
      <c r="F1332" s="9">
        <v>650</v>
      </c>
      <c r="G1332" s="9">
        <f>DATOS!$E1332*DATOS!$F1332</f>
        <v>18850</v>
      </c>
    </row>
    <row r="1333" spans="1:7" x14ac:dyDescent="0.3">
      <c r="A1333" s="10">
        <v>41017</v>
      </c>
      <c r="B1333" s="9" t="s">
        <v>21</v>
      </c>
      <c r="C1333" s="9" t="s">
        <v>24</v>
      </c>
      <c r="D1333" s="9" t="s">
        <v>31</v>
      </c>
      <c r="E1333" s="9">
        <v>29</v>
      </c>
      <c r="F1333" s="9">
        <v>800</v>
      </c>
      <c r="G1333" s="9">
        <f>DATOS!$E1333*DATOS!$F1333</f>
        <v>23200</v>
      </c>
    </row>
    <row r="1334" spans="1:7" x14ac:dyDescent="0.3">
      <c r="A1334" s="10">
        <v>40670</v>
      </c>
      <c r="B1334" s="9" t="s">
        <v>21</v>
      </c>
      <c r="C1334" s="9" t="s">
        <v>29</v>
      </c>
      <c r="D1334" s="9" t="s">
        <v>32</v>
      </c>
      <c r="E1334" s="9">
        <v>125</v>
      </c>
      <c r="F1334" s="9">
        <v>820</v>
      </c>
      <c r="G1334" s="9">
        <f>DATOS!$E1334*DATOS!$F1334</f>
        <v>102500</v>
      </c>
    </row>
    <row r="1335" spans="1:7" x14ac:dyDescent="0.3">
      <c r="A1335" s="10">
        <v>40366</v>
      </c>
      <c r="B1335" s="9" t="s">
        <v>21</v>
      </c>
      <c r="C1335" s="9" t="s">
        <v>24</v>
      </c>
      <c r="D1335" s="9" t="s">
        <v>31</v>
      </c>
      <c r="E1335" s="9">
        <v>14</v>
      </c>
      <c r="F1335" s="9">
        <v>800</v>
      </c>
      <c r="G1335" s="9">
        <f>DATOS!$E1335*DATOS!$F1335</f>
        <v>11200</v>
      </c>
    </row>
    <row r="1336" spans="1:7" x14ac:dyDescent="0.3">
      <c r="A1336" s="10">
        <v>41881</v>
      </c>
      <c r="B1336" s="9" t="s">
        <v>21</v>
      </c>
      <c r="C1336" s="9" t="s">
        <v>24</v>
      </c>
      <c r="D1336" s="9" t="s">
        <v>37</v>
      </c>
      <c r="E1336" s="9">
        <v>18</v>
      </c>
      <c r="F1336" s="9">
        <v>1200</v>
      </c>
      <c r="G1336" s="9">
        <f>DATOS!$E1336*DATOS!$F1336</f>
        <v>21600</v>
      </c>
    </row>
    <row r="1337" spans="1:7" x14ac:dyDescent="0.3">
      <c r="A1337" s="10">
        <v>40513</v>
      </c>
      <c r="B1337" s="9" t="s">
        <v>21</v>
      </c>
      <c r="C1337" s="9" t="s">
        <v>25</v>
      </c>
      <c r="D1337" s="9" t="s">
        <v>30</v>
      </c>
      <c r="E1337" s="9">
        <v>55</v>
      </c>
      <c r="F1337" s="9">
        <v>450</v>
      </c>
      <c r="G1337" s="9">
        <f>DATOS!$E1337*DATOS!$F1337</f>
        <v>24750</v>
      </c>
    </row>
    <row r="1338" spans="1:7" x14ac:dyDescent="0.3">
      <c r="A1338" s="10">
        <v>40333</v>
      </c>
      <c r="B1338" s="9" t="s">
        <v>21</v>
      </c>
      <c r="C1338" s="9" t="s">
        <v>25</v>
      </c>
      <c r="D1338" s="9" t="s">
        <v>37</v>
      </c>
      <c r="E1338" s="9">
        <v>41</v>
      </c>
      <c r="F1338" s="9">
        <v>1200</v>
      </c>
      <c r="G1338" s="9">
        <f>DATOS!$E1338*DATOS!$F1338</f>
        <v>49200</v>
      </c>
    </row>
    <row r="1339" spans="1:7" x14ac:dyDescent="0.3">
      <c r="A1339" s="10">
        <v>41785</v>
      </c>
      <c r="B1339" s="9" t="s">
        <v>21</v>
      </c>
      <c r="C1339" s="9" t="s">
        <v>25</v>
      </c>
      <c r="D1339" s="9" t="s">
        <v>31</v>
      </c>
      <c r="E1339" s="9">
        <v>1</v>
      </c>
      <c r="F1339" s="9">
        <v>800</v>
      </c>
      <c r="G1339" s="9">
        <f>DATOS!$E1339*DATOS!$F1339</f>
        <v>800</v>
      </c>
    </row>
    <row r="1340" spans="1:7" x14ac:dyDescent="0.3">
      <c r="A1340" s="10">
        <v>41534</v>
      </c>
      <c r="B1340" s="9" t="s">
        <v>21</v>
      </c>
      <c r="C1340" s="9" t="s">
        <v>25</v>
      </c>
      <c r="D1340" s="9" t="s">
        <v>31</v>
      </c>
      <c r="E1340" s="9">
        <v>133</v>
      </c>
      <c r="F1340" s="9">
        <v>800</v>
      </c>
      <c r="G1340" s="9">
        <f>DATOS!$E1340*DATOS!$F1340</f>
        <v>106400</v>
      </c>
    </row>
    <row r="1341" spans="1:7" x14ac:dyDescent="0.3">
      <c r="A1341" s="10">
        <v>40272</v>
      </c>
      <c r="B1341" s="9" t="s">
        <v>21</v>
      </c>
      <c r="C1341" s="9" t="s">
        <v>26</v>
      </c>
      <c r="D1341" s="9" t="s">
        <v>32</v>
      </c>
      <c r="E1341" s="9">
        <v>8</v>
      </c>
      <c r="F1341" s="9">
        <v>950</v>
      </c>
      <c r="G1341" s="9">
        <f>DATOS!$E1341*DATOS!$F1341</f>
        <v>7600</v>
      </c>
    </row>
    <row r="1342" spans="1:7" x14ac:dyDescent="0.3">
      <c r="A1342" s="10">
        <v>41292</v>
      </c>
      <c r="B1342" s="9" t="s">
        <v>21</v>
      </c>
      <c r="C1342" s="9" t="s">
        <v>29</v>
      </c>
      <c r="D1342" s="9" t="s">
        <v>37</v>
      </c>
      <c r="E1342" s="9">
        <v>74</v>
      </c>
      <c r="F1342" s="9">
        <v>1200</v>
      </c>
      <c r="G1342" s="9">
        <f>DATOS!$E1342*DATOS!$F1342</f>
        <v>88800</v>
      </c>
    </row>
    <row r="1343" spans="1:7" x14ac:dyDescent="0.3">
      <c r="A1343" s="10">
        <v>41535</v>
      </c>
      <c r="B1343" s="9" t="s">
        <v>21</v>
      </c>
      <c r="C1343" s="9" t="s">
        <v>26</v>
      </c>
      <c r="D1343" s="9" t="s">
        <v>37</v>
      </c>
      <c r="E1343" s="9">
        <v>25</v>
      </c>
      <c r="F1343" s="9">
        <v>1200</v>
      </c>
      <c r="G1343" s="9">
        <f>DATOS!$E1343*DATOS!$F1343</f>
        <v>30000</v>
      </c>
    </row>
    <row r="1344" spans="1:7" x14ac:dyDescent="0.3">
      <c r="A1344" s="10">
        <v>41504</v>
      </c>
      <c r="B1344" s="9" t="s">
        <v>21</v>
      </c>
      <c r="C1344" s="9" t="s">
        <v>28</v>
      </c>
      <c r="D1344" s="9" t="s">
        <v>32</v>
      </c>
      <c r="E1344" s="9">
        <v>23</v>
      </c>
      <c r="F1344" s="9">
        <v>950</v>
      </c>
      <c r="G1344" s="9">
        <f>DATOS!$E1344*DATOS!$F1344</f>
        <v>21850</v>
      </c>
    </row>
    <row r="1345" spans="1:7" x14ac:dyDescent="0.3">
      <c r="A1345" s="10">
        <v>40583</v>
      </c>
      <c r="B1345" s="9" t="s">
        <v>21</v>
      </c>
      <c r="C1345" s="9" t="s">
        <v>27</v>
      </c>
      <c r="D1345" s="9" t="s">
        <v>31</v>
      </c>
      <c r="E1345" s="9">
        <v>81</v>
      </c>
      <c r="F1345" s="9">
        <v>800</v>
      </c>
      <c r="G1345" s="9">
        <f>DATOS!$E1345*DATOS!$F1345</f>
        <v>64800</v>
      </c>
    </row>
    <row r="1346" spans="1:7" x14ac:dyDescent="0.3">
      <c r="A1346" s="10">
        <v>41795</v>
      </c>
      <c r="B1346" s="9" t="s">
        <v>21</v>
      </c>
      <c r="C1346" s="9" t="s">
        <v>27</v>
      </c>
      <c r="D1346" s="9" t="s">
        <v>31</v>
      </c>
      <c r="E1346" s="9">
        <v>98</v>
      </c>
      <c r="F1346" s="9">
        <v>800</v>
      </c>
      <c r="G1346" s="9">
        <f>DATOS!$E1346*DATOS!$F1346</f>
        <v>78400</v>
      </c>
    </row>
    <row r="1347" spans="1:7" x14ac:dyDescent="0.3">
      <c r="A1347" s="10">
        <v>41482</v>
      </c>
      <c r="B1347" s="9" t="s">
        <v>21</v>
      </c>
      <c r="C1347" s="9" t="s">
        <v>28</v>
      </c>
      <c r="D1347" s="9" t="s">
        <v>31</v>
      </c>
      <c r="E1347" s="9">
        <v>44</v>
      </c>
      <c r="F1347" s="9">
        <v>800</v>
      </c>
      <c r="G1347" s="9">
        <f>DATOS!$E1347*DATOS!$F1347</f>
        <v>35200</v>
      </c>
    </row>
    <row r="1348" spans="1:7" x14ac:dyDescent="0.3">
      <c r="A1348" s="10">
        <v>40497</v>
      </c>
      <c r="B1348" s="9" t="s">
        <v>21</v>
      </c>
      <c r="C1348" s="9" t="s">
        <v>27</v>
      </c>
      <c r="D1348" s="9" t="s">
        <v>37</v>
      </c>
      <c r="E1348" s="9">
        <v>21</v>
      </c>
      <c r="F1348" s="9">
        <v>1200</v>
      </c>
      <c r="G1348" s="9">
        <f>DATOS!$E1348*DATOS!$F1348</f>
        <v>25200</v>
      </c>
    </row>
    <row r="1349" spans="1:7" x14ac:dyDescent="0.3">
      <c r="A1349" s="10">
        <v>41973</v>
      </c>
      <c r="B1349" s="9" t="s">
        <v>21</v>
      </c>
      <c r="C1349" s="9" t="s">
        <v>28</v>
      </c>
      <c r="D1349" s="9" t="s">
        <v>30</v>
      </c>
      <c r="E1349" s="9">
        <v>5</v>
      </c>
      <c r="F1349" s="9">
        <v>450</v>
      </c>
      <c r="G1349" s="9">
        <f>DATOS!$E1349*DATOS!$F1349</f>
        <v>2250</v>
      </c>
    </row>
    <row r="1350" spans="1:7" x14ac:dyDescent="0.3">
      <c r="A1350" s="10">
        <v>41402</v>
      </c>
      <c r="B1350" s="9" t="s">
        <v>21</v>
      </c>
      <c r="C1350" s="9" t="s">
        <v>26</v>
      </c>
      <c r="D1350" s="9" t="s">
        <v>32</v>
      </c>
      <c r="E1350" s="9">
        <v>86</v>
      </c>
      <c r="F1350" s="9">
        <v>820</v>
      </c>
      <c r="G1350" s="9">
        <f>DATOS!$E1350*DATOS!$F1350</f>
        <v>70520</v>
      </c>
    </row>
    <row r="1351" spans="1:7" x14ac:dyDescent="0.3">
      <c r="A1351" s="10">
        <v>41952</v>
      </c>
      <c r="B1351" s="9" t="s">
        <v>21</v>
      </c>
      <c r="C1351" s="9" t="s">
        <v>24</v>
      </c>
      <c r="D1351" s="9" t="s">
        <v>32</v>
      </c>
      <c r="E1351" s="9">
        <v>16</v>
      </c>
      <c r="F1351" s="9">
        <v>950</v>
      </c>
      <c r="G1351" s="9">
        <f>DATOS!$E1351*DATOS!$F1351</f>
        <v>15200</v>
      </c>
    </row>
    <row r="1352" spans="1:7" x14ac:dyDescent="0.3">
      <c r="A1352" s="10">
        <v>40434</v>
      </c>
      <c r="B1352" s="9" t="s">
        <v>21</v>
      </c>
      <c r="C1352" s="9" t="s">
        <v>26</v>
      </c>
      <c r="D1352" s="9" t="s">
        <v>37</v>
      </c>
      <c r="E1352" s="9">
        <v>176</v>
      </c>
      <c r="F1352" s="9">
        <v>1200</v>
      </c>
      <c r="G1352" s="9">
        <f>DATOS!$E1352*DATOS!$F1352</f>
        <v>211200</v>
      </c>
    </row>
    <row r="1353" spans="1:7" x14ac:dyDescent="0.3">
      <c r="A1353" s="10">
        <v>41824</v>
      </c>
      <c r="B1353" s="9" t="s">
        <v>21</v>
      </c>
      <c r="C1353" s="9" t="s">
        <v>24</v>
      </c>
      <c r="D1353" s="9" t="s">
        <v>31</v>
      </c>
      <c r="E1353" s="9">
        <v>148</v>
      </c>
      <c r="F1353" s="9">
        <v>800</v>
      </c>
      <c r="G1353" s="9">
        <f>DATOS!$E1353*DATOS!$F1353</f>
        <v>118400</v>
      </c>
    </row>
    <row r="1354" spans="1:7" x14ac:dyDescent="0.3">
      <c r="A1354" s="10">
        <v>41708</v>
      </c>
      <c r="B1354" s="9" t="s">
        <v>21</v>
      </c>
      <c r="C1354" s="9" t="s">
        <v>27</v>
      </c>
      <c r="D1354" s="9" t="s">
        <v>30</v>
      </c>
      <c r="E1354" s="9">
        <v>12</v>
      </c>
      <c r="F1354" s="9">
        <v>450</v>
      </c>
      <c r="G1354" s="9">
        <f>DATOS!$E1354*DATOS!$F1354</f>
        <v>5400</v>
      </c>
    </row>
    <row r="1355" spans="1:7" x14ac:dyDescent="0.3">
      <c r="A1355" s="10">
        <v>41261</v>
      </c>
      <c r="B1355" s="9" t="s">
        <v>21</v>
      </c>
      <c r="C1355" s="9" t="s">
        <v>27</v>
      </c>
      <c r="D1355" s="9" t="s">
        <v>32</v>
      </c>
      <c r="E1355" s="9">
        <v>26</v>
      </c>
      <c r="F1355" s="9">
        <v>820</v>
      </c>
      <c r="G1355" s="9">
        <f>DATOS!$E1355*DATOS!$F1355</f>
        <v>21320</v>
      </c>
    </row>
    <row r="1356" spans="1:7" x14ac:dyDescent="0.3">
      <c r="A1356" s="10">
        <v>40999</v>
      </c>
      <c r="B1356" s="9" t="s">
        <v>21</v>
      </c>
      <c r="C1356" s="9" t="s">
        <v>24</v>
      </c>
      <c r="D1356" s="9" t="s">
        <v>32</v>
      </c>
      <c r="E1356" s="9">
        <v>56</v>
      </c>
      <c r="F1356" s="9">
        <v>820</v>
      </c>
      <c r="G1356" s="9">
        <f>DATOS!$E1356*DATOS!$F1356</f>
        <v>45920</v>
      </c>
    </row>
    <row r="1357" spans="1:7" x14ac:dyDescent="0.3">
      <c r="A1357" s="10">
        <v>40284</v>
      </c>
      <c r="B1357" s="9" t="s">
        <v>21</v>
      </c>
      <c r="C1357" s="9" t="s">
        <v>27</v>
      </c>
      <c r="D1357" s="9" t="s">
        <v>31</v>
      </c>
      <c r="E1357" s="9">
        <v>31</v>
      </c>
      <c r="F1357" s="9">
        <v>800</v>
      </c>
      <c r="G1357" s="9">
        <f>DATOS!$E1357*DATOS!$F1357</f>
        <v>24800</v>
      </c>
    </row>
    <row r="1358" spans="1:7" x14ac:dyDescent="0.3">
      <c r="A1358" s="10">
        <v>40712</v>
      </c>
      <c r="B1358" s="9" t="s">
        <v>21</v>
      </c>
      <c r="C1358" s="9" t="s">
        <v>25</v>
      </c>
      <c r="D1358" s="9" t="s">
        <v>31</v>
      </c>
      <c r="E1358" s="9">
        <v>175</v>
      </c>
      <c r="F1358" s="9">
        <v>800</v>
      </c>
      <c r="G1358" s="9">
        <f>DATOS!$E1358*DATOS!$F1358</f>
        <v>140000</v>
      </c>
    </row>
    <row r="1359" spans="1:7" x14ac:dyDescent="0.3">
      <c r="A1359" s="10">
        <v>41635</v>
      </c>
      <c r="B1359" s="9" t="s">
        <v>21</v>
      </c>
      <c r="C1359" s="9" t="s">
        <v>27</v>
      </c>
      <c r="D1359" s="9" t="s">
        <v>32</v>
      </c>
      <c r="E1359" s="9">
        <v>13</v>
      </c>
      <c r="F1359" s="9">
        <v>820</v>
      </c>
      <c r="G1359" s="9">
        <f>DATOS!$E1359*DATOS!$F1359</f>
        <v>10660</v>
      </c>
    </row>
    <row r="1360" spans="1:7" x14ac:dyDescent="0.3">
      <c r="A1360" s="10">
        <v>40888</v>
      </c>
      <c r="B1360" s="9" t="s">
        <v>21</v>
      </c>
      <c r="C1360" s="9" t="s">
        <v>25</v>
      </c>
      <c r="D1360" s="9" t="s">
        <v>33</v>
      </c>
      <c r="E1360" s="9">
        <v>64</v>
      </c>
      <c r="F1360" s="9">
        <v>650</v>
      </c>
      <c r="G1360" s="9">
        <f>DATOS!$E1360*DATOS!$F1360</f>
        <v>41600</v>
      </c>
    </row>
    <row r="1361" spans="1:7" x14ac:dyDescent="0.3">
      <c r="A1361" s="10">
        <v>41454</v>
      </c>
      <c r="B1361" s="9" t="s">
        <v>21</v>
      </c>
      <c r="C1361" s="9" t="s">
        <v>25</v>
      </c>
      <c r="D1361" s="9" t="s">
        <v>31</v>
      </c>
      <c r="E1361" s="9">
        <v>100</v>
      </c>
      <c r="F1361" s="9">
        <v>800</v>
      </c>
      <c r="G1361" s="9">
        <f>DATOS!$E1361*DATOS!$F1361</f>
        <v>80000</v>
      </c>
    </row>
    <row r="1362" spans="1:7" x14ac:dyDescent="0.3">
      <c r="A1362" s="10">
        <v>41849</v>
      </c>
      <c r="B1362" s="9" t="s">
        <v>21</v>
      </c>
      <c r="C1362" s="9" t="s">
        <v>28</v>
      </c>
      <c r="D1362" s="9" t="s">
        <v>31</v>
      </c>
      <c r="E1362" s="9">
        <v>2</v>
      </c>
      <c r="F1362" s="9">
        <v>800</v>
      </c>
      <c r="G1362" s="9">
        <f>DATOS!$E1362*DATOS!$F1362</f>
        <v>1600</v>
      </c>
    </row>
    <row r="1363" spans="1:7" x14ac:dyDescent="0.3">
      <c r="A1363" s="10">
        <v>40395</v>
      </c>
      <c r="B1363" s="9" t="s">
        <v>21</v>
      </c>
      <c r="C1363" s="9" t="s">
        <v>26</v>
      </c>
      <c r="D1363" s="9" t="s">
        <v>37</v>
      </c>
      <c r="E1363" s="9">
        <v>54</v>
      </c>
      <c r="F1363" s="9">
        <v>1200</v>
      </c>
      <c r="G1363" s="9">
        <f>DATOS!$E1363*DATOS!$F1363</f>
        <v>64800</v>
      </c>
    </row>
    <row r="1364" spans="1:7" x14ac:dyDescent="0.3">
      <c r="A1364" s="10">
        <v>41190</v>
      </c>
      <c r="B1364" s="9" t="s">
        <v>21</v>
      </c>
      <c r="C1364" s="9" t="s">
        <v>27</v>
      </c>
      <c r="D1364" s="9" t="s">
        <v>32</v>
      </c>
      <c r="E1364" s="9">
        <v>25</v>
      </c>
      <c r="F1364" s="9">
        <v>820</v>
      </c>
      <c r="G1364" s="9">
        <f>DATOS!$E1364*DATOS!$F1364</f>
        <v>20500</v>
      </c>
    </row>
    <row r="1365" spans="1:7" x14ac:dyDescent="0.3">
      <c r="A1365" s="10">
        <v>40734</v>
      </c>
      <c r="B1365" s="9" t="s">
        <v>21</v>
      </c>
      <c r="C1365" s="9" t="s">
        <v>29</v>
      </c>
      <c r="D1365" s="9" t="s">
        <v>31</v>
      </c>
      <c r="E1365" s="9">
        <v>87</v>
      </c>
      <c r="F1365" s="9">
        <v>800</v>
      </c>
      <c r="G1365" s="9">
        <f>DATOS!$E1365*DATOS!$F1365</f>
        <v>69600</v>
      </c>
    </row>
    <row r="1366" spans="1:7" x14ac:dyDescent="0.3">
      <c r="A1366" s="10">
        <v>40554</v>
      </c>
      <c r="B1366" s="9" t="s">
        <v>21</v>
      </c>
      <c r="C1366" s="9" t="s">
        <v>27</v>
      </c>
      <c r="D1366" s="9" t="s">
        <v>33</v>
      </c>
      <c r="E1366" s="9">
        <v>46</v>
      </c>
      <c r="F1366" s="9">
        <v>650</v>
      </c>
      <c r="G1366" s="9">
        <f>DATOS!$E1366*DATOS!$F1366</f>
        <v>29900</v>
      </c>
    </row>
    <row r="1367" spans="1:7" x14ac:dyDescent="0.3">
      <c r="A1367" s="10">
        <v>40441</v>
      </c>
      <c r="B1367" s="9" t="s">
        <v>21</v>
      </c>
      <c r="C1367" s="9" t="s">
        <v>25</v>
      </c>
      <c r="D1367" s="9" t="s">
        <v>32</v>
      </c>
      <c r="E1367" s="9">
        <v>20</v>
      </c>
      <c r="F1367" s="9">
        <v>820</v>
      </c>
      <c r="G1367" s="9">
        <f>DATOS!$E1367*DATOS!$F1367</f>
        <v>16400</v>
      </c>
    </row>
    <row r="1368" spans="1:7" x14ac:dyDescent="0.3">
      <c r="A1368" s="10">
        <v>40689</v>
      </c>
      <c r="B1368" s="9" t="s">
        <v>21</v>
      </c>
      <c r="C1368" s="9" t="s">
        <v>24</v>
      </c>
      <c r="D1368" s="9" t="s">
        <v>32</v>
      </c>
      <c r="E1368" s="9">
        <v>57</v>
      </c>
      <c r="F1368" s="9">
        <v>950</v>
      </c>
      <c r="G1368" s="9">
        <f>DATOS!$E1368*DATOS!$F1368</f>
        <v>54150</v>
      </c>
    </row>
    <row r="1369" spans="1:7" x14ac:dyDescent="0.3">
      <c r="A1369" s="10">
        <v>40429</v>
      </c>
      <c r="B1369" s="9" t="s">
        <v>21</v>
      </c>
      <c r="C1369" s="9" t="s">
        <v>27</v>
      </c>
      <c r="D1369" s="9" t="s">
        <v>31</v>
      </c>
      <c r="E1369" s="9">
        <v>32</v>
      </c>
      <c r="F1369" s="9">
        <v>800</v>
      </c>
      <c r="G1369" s="9">
        <f>DATOS!$E1369*DATOS!$F1369</f>
        <v>25600</v>
      </c>
    </row>
    <row r="1370" spans="1:7" x14ac:dyDescent="0.3">
      <c r="A1370" s="10">
        <v>40771</v>
      </c>
      <c r="B1370" s="9" t="s">
        <v>21</v>
      </c>
      <c r="C1370" s="9" t="s">
        <v>27</v>
      </c>
      <c r="D1370" s="9" t="s">
        <v>31</v>
      </c>
      <c r="E1370" s="9">
        <v>58</v>
      </c>
      <c r="F1370" s="9">
        <v>800</v>
      </c>
      <c r="G1370" s="9">
        <f>DATOS!$E1370*DATOS!$F1370</f>
        <v>46400</v>
      </c>
    </row>
    <row r="1371" spans="1:7" x14ac:dyDescent="0.3">
      <c r="A1371" s="10">
        <v>40632</v>
      </c>
      <c r="B1371" s="9" t="s">
        <v>21</v>
      </c>
      <c r="C1371" s="9" t="s">
        <v>27</v>
      </c>
      <c r="D1371" s="9" t="s">
        <v>37</v>
      </c>
      <c r="E1371" s="9">
        <v>22</v>
      </c>
      <c r="F1371" s="9">
        <v>1200</v>
      </c>
      <c r="G1371" s="9">
        <f>DATOS!$E1371*DATOS!$F1371</f>
        <v>26400</v>
      </c>
    </row>
    <row r="1372" spans="1:7" x14ac:dyDescent="0.3">
      <c r="A1372" s="10">
        <v>40448</v>
      </c>
      <c r="B1372" s="9" t="s">
        <v>21</v>
      </c>
      <c r="C1372" s="9" t="s">
        <v>27</v>
      </c>
      <c r="D1372" s="9" t="s">
        <v>37</v>
      </c>
      <c r="E1372" s="9">
        <v>47</v>
      </c>
      <c r="F1372" s="9">
        <v>1200</v>
      </c>
      <c r="G1372" s="9">
        <f>DATOS!$E1372*DATOS!$F1372</f>
        <v>56400</v>
      </c>
    </row>
    <row r="1373" spans="1:7" x14ac:dyDescent="0.3">
      <c r="A1373" s="10">
        <v>41589</v>
      </c>
      <c r="B1373" s="9" t="s">
        <v>21</v>
      </c>
      <c r="C1373" s="9" t="s">
        <v>25</v>
      </c>
      <c r="D1373" s="9" t="s">
        <v>32</v>
      </c>
      <c r="E1373" s="9">
        <v>108</v>
      </c>
      <c r="F1373" s="9">
        <v>820</v>
      </c>
      <c r="G1373" s="9">
        <f>DATOS!$E1373*DATOS!$F1373</f>
        <v>88560</v>
      </c>
    </row>
    <row r="1374" spans="1:7" x14ac:dyDescent="0.3">
      <c r="A1374" s="10">
        <v>41408</v>
      </c>
      <c r="B1374" s="9" t="s">
        <v>21</v>
      </c>
      <c r="C1374" s="9" t="s">
        <v>26</v>
      </c>
      <c r="D1374" s="9" t="s">
        <v>31</v>
      </c>
      <c r="E1374" s="9">
        <v>25</v>
      </c>
      <c r="F1374" s="9">
        <v>800</v>
      </c>
      <c r="G1374" s="9">
        <f>DATOS!$E1374*DATOS!$F1374</f>
        <v>20000</v>
      </c>
    </row>
    <row r="1375" spans="1:7" x14ac:dyDescent="0.3">
      <c r="A1375" s="10">
        <v>41927</v>
      </c>
      <c r="B1375" s="9" t="s">
        <v>21</v>
      </c>
      <c r="C1375" s="9" t="s">
        <v>27</v>
      </c>
      <c r="D1375" s="9" t="s">
        <v>32</v>
      </c>
      <c r="E1375" s="9">
        <v>82</v>
      </c>
      <c r="F1375" s="9">
        <v>820</v>
      </c>
      <c r="G1375" s="9">
        <f>DATOS!$E1375*DATOS!$F1375</f>
        <v>67240</v>
      </c>
    </row>
    <row r="1376" spans="1:7" x14ac:dyDescent="0.3">
      <c r="A1376" s="10">
        <v>40317</v>
      </c>
      <c r="B1376" s="9" t="s">
        <v>21</v>
      </c>
      <c r="C1376" s="9" t="s">
        <v>26</v>
      </c>
      <c r="D1376" s="9" t="s">
        <v>30</v>
      </c>
      <c r="E1376" s="9">
        <v>56</v>
      </c>
      <c r="F1376" s="9">
        <v>450</v>
      </c>
      <c r="G1376" s="9">
        <f>DATOS!$E1376*DATOS!$F1376</f>
        <v>25200</v>
      </c>
    </row>
    <row r="1377" spans="1:7" x14ac:dyDescent="0.3">
      <c r="A1377" s="10">
        <v>40731</v>
      </c>
      <c r="B1377" s="9" t="s">
        <v>21</v>
      </c>
      <c r="C1377" s="9" t="s">
        <v>26</v>
      </c>
      <c r="D1377" s="9" t="s">
        <v>37</v>
      </c>
      <c r="E1377" s="9">
        <v>23</v>
      </c>
      <c r="F1377" s="9">
        <v>1200</v>
      </c>
      <c r="G1377" s="9">
        <f>DATOS!$E1377*DATOS!$F1377</f>
        <v>27600</v>
      </c>
    </row>
    <row r="1378" spans="1:7" x14ac:dyDescent="0.3">
      <c r="A1378" s="10">
        <v>41905</v>
      </c>
      <c r="B1378" s="9" t="s">
        <v>21</v>
      </c>
      <c r="C1378" s="9" t="s">
        <v>24</v>
      </c>
      <c r="D1378" s="9" t="s">
        <v>33</v>
      </c>
      <c r="E1378" s="9">
        <v>64</v>
      </c>
      <c r="F1378" s="9">
        <v>650</v>
      </c>
      <c r="G1378" s="9">
        <f>DATOS!$E1378*DATOS!$F1378</f>
        <v>41600</v>
      </c>
    </row>
    <row r="1379" spans="1:7" x14ac:dyDescent="0.3">
      <c r="A1379" s="10">
        <v>41860</v>
      </c>
      <c r="B1379" s="9" t="s">
        <v>21</v>
      </c>
      <c r="C1379" s="9" t="s">
        <v>25</v>
      </c>
      <c r="D1379" s="9" t="s">
        <v>37</v>
      </c>
      <c r="E1379" s="9">
        <v>14</v>
      </c>
      <c r="F1379" s="9">
        <v>1200</v>
      </c>
      <c r="G1379" s="9">
        <f>DATOS!$E1379*DATOS!$F1379</f>
        <v>16800</v>
      </c>
    </row>
    <row r="1380" spans="1:7" x14ac:dyDescent="0.3">
      <c r="A1380" s="10">
        <v>40879</v>
      </c>
      <c r="B1380" s="9" t="s">
        <v>21</v>
      </c>
      <c r="C1380" s="9" t="s">
        <v>26</v>
      </c>
      <c r="D1380" s="9" t="s">
        <v>32</v>
      </c>
      <c r="E1380" s="9">
        <v>10</v>
      </c>
      <c r="F1380" s="9">
        <v>950</v>
      </c>
      <c r="G1380" s="9">
        <f>DATOS!$E1380*DATOS!$F1380</f>
        <v>9500</v>
      </c>
    </row>
    <row r="1381" spans="1:7" x14ac:dyDescent="0.3">
      <c r="A1381" s="10">
        <v>41970</v>
      </c>
      <c r="B1381" s="9" t="s">
        <v>21</v>
      </c>
      <c r="C1381" s="9" t="s">
        <v>26</v>
      </c>
      <c r="D1381" s="9" t="s">
        <v>32</v>
      </c>
      <c r="E1381" s="9">
        <v>107</v>
      </c>
      <c r="F1381" s="9">
        <v>820</v>
      </c>
      <c r="G1381" s="9">
        <f>DATOS!$E1381*DATOS!$F1381</f>
        <v>87740</v>
      </c>
    </row>
    <row r="1382" spans="1:7" x14ac:dyDescent="0.3">
      <c r="A1382" s="10">
        <v>41532</v>
      </c>
      <c r="B1382" s="9" t="s">
        <v>21</v>
      </c>
      <c r="C1382" s="9" t="s">
        <v>26</v>
      </c>
      <c r="D1382" s="9" t="s">
        <v>31</v>
      </c>
      <c r="E1382" s="9">
        <v>40</v>
      </c>
      <c r="F1382" s="9">
        <v>800</v>
      </c>
      <c r="G1382" s="9">
        <f>DATOS!$E1382*DATOS!$F1382</f>
        <v>32000</v>
      </c>
    </row>
    <row r="1383" spans="1:7" x14ac:dyDescent="0.3">
      <c r="A1383" s="10">
        <v>40212</v>
      </c>
      <c r="B1383" s="9" t="s">
        <v>21</v>
      </c>
      <c r="C1383" s="9" t="s">
        <v>29</v>
      </c>
      <c r="D1383" s="9" t="s">
        <v>31</v>
      </c>
      <c r="E1383" s="9">
        <v>28</v>
      </c>
      <c r="F1383" s="9">
        <v>800</v>
      </c>
      <c r="G1383" s="9">
        <f>DATOS!$E1383*DATOS!$F1383</f>
        <v>22400</v>
      </c>
    </row>
    <row r="1384" spans="1:7" x14ac:dyDescent="0.3">
      <c r="A1384" s="10">
        <v>41973</v>
      </c>
      <c r="B1384" s="9" t="s">
        <v>21</v>
      </c>
      <c r="C1384" s="9" t="s">
        <v>29</v>
      </c>
      <c r="D1384" s="9" t="s">
        <v>32</v>
      </c>
      <c r="E1384" s="9">
        <v>46</v>
      </c>
      <c r="F1384" s="9">
        <v>950</v>
      </c>
      <c r="G1384" s="9">
        <f>DATOS!$E1384*DATOS!$F1384</f>
        <v>43700</v>
      </c>
    </row>
    <row r="1385" spans="1:7" x14ac:dyDescent="0.3">
      <c r="A1385" s="10">
        <v>40774</v>
      </c>
      <c r="B1385" s="9" t="s">
        <v>22</v>
      </c>
      <c r="C1385" s="9" t="s">
        <v>25</v>
      </c>
      <c r="D1385" s="9" t="s">
        <v>32</v>
      </c>
      <c r="E1385" s="9">
        <v>1</v>
      </c>
      <c r="F1385" s="9">
        <v>820</v>
      </c>
      <c r="G1385" s="9">
        <f>DATOS!$E1385*DATOS!$F1385</f>
        <v>820</v>
      </c>
    </row>
    <row r="1386" spans="1:7" x14ac:dyDescent="0.3">
      <c r="A1386" s="10">
        <v>41583</v>
      </c>
      <c r="B1386" s="9" t="s">
        <v>22</v>
      </c>
      <c r="C1386" s="9" t="s">
        <v>28</v>
      </c>
      <c r="D1386" s="9" t="s">
        <v>30</v>
      </c>
      <c r="E1386" s="9">
        <v>10</v>
      </c>
      <c r="F1386" s="9">
        <v>450</v>
      </c>
      <c r="G1386" s="9">
        <f>DATOS!$E1386*DATOS!$F1386</f>
        <v>4500</v>
      </c>
    </row>
    <row r="1387" spans="1:7" x14ac:dyDescent="0.3">
      <c r="A1387" s="10">
        <v>40271</v>
      </c>
      <c r="B1387" s="9" t="s">
        <v>22</v>
      </c>
      <c r="C1387" s="9" t="s">
        <v>26</v>
      </c>
      <c r="D1387" s="9" t="s">
        <v>31</v>
      </c>
      <c r="E1387" s="9">
        <v>60</v>
      </c>
      <c r="F1387" s="9">
        <v>800</v>
      </c>
      <c r="G1387" s="9">
        <f>DATOS!$E1387*DATOS!$F1387</f>
        <v>48000</v>
      </c>
    </row>
    <row r="1388" spans="1:7" x14ac:dyDescent="0.3">
      <c r="A1388" s="10">
        <v>40734</v>
      </c>
      <c r="B1388" s="9" t="s">
        <v>22</v>
      </c>
      <c r="C1388" s="9" t="s">
        <v>24</v>
      </c>
      <c r="D1388" s="9" t="s">
        <v>31</v>
      </c>
      <c r="E1388" s="9">
        <v>46</v>
      </c>
      <c r="F1388" s="9">
        <v>800</v>
      </c>
      <c r="G1388" s="9">
        <f>DATOS!$E1388*DATOS!$F1388</f>
        <v>36800</v>
      </c>
    </row>
    <row r="1389" spans="1:7" x14ac:dyDescent="0.3">
      <c r="A1389" s="10">
        <v>41153</v>
      </c>
      <c r="B1389" s="9" t="s">
        <v>22</v>
      </c>
      <c r="C1389" s="9" t="s">
        <v>24</v>
      </c>
      <c r="D1389" s="9" t="s">
        <v>37</v>
      </c>
      <c r="E1389" s="9">
        <v>43</v>
      </c>
      <c r="F1389" s="9">
        <v>1200</v>
      </c>
      <c r="G1389" s="9">
        <f>DATOS!$E1389*DATOS!$F1389</f>
        <v>51600</v>
      </c>
    </row>
    <row r="1390" spans="1:7" x14ac:dyDescent="0.3">
      <c r="A1390" s="10">
        <v>41225</v>
      </c>
      <c r="B1390" s="9" t="s">
        <v>22</v>
      </c>
      <c r="C1390" s="9" t="s">
        <v>27</v>
      </c>
      <c r="D1390" s="9" t="s">
        <v>33</v>
      </c>
      <c r="E1390" s="9">
        <v>24</v>
      </c>
      <c r="F1390" s="9">
        <v>650</v>
      </c>
      <c r="G1390" s="9">
        <f>DATOS!$E1390*DATOS!$F1390</f>
        <v>15600</v>
      </c>
    </row>
    <row r="1391" spans="1:7" x14ac:dyDescent="0.3">
      <c r="A1391" s="10">
        <v>40939</v>
      </c>
      <c r="B1391" s="9" t="s">
        <v>22</v>
      </c>
      <c r="C1391" s="9" t="s">
        <v>26</v>
      </c>
      <c r="D1391" s="9" t="s">
        <v>31</v>
      </c>
      <c r="E1391" s="9">
        <v>12</v>
      </c>
      <c r="F1391" s="9">
        <v>800</v>
      </c>
      <c r="G1391" s="9">
        <f>DATOS!$E1391*DATOS!$F1391</f>
        <v>9600</v>
      </c>
    </row>
    <row r="1392" spans="1:7" x14ac:dyDescent="0.3">
      <c r="A1392" s="10">
        <v>41748</v>
      </c>
      <c r="B1392" s="9" t="s">
        <v>22</v>
      </c>
      <c r="C1392" s="9" t="s">
        <v>25</v>
      </c>
      <c r="D1392" s="9" t="s">
        <v>32</v>
      </c>
      <c r="E1392" s="9">
        <v>69</v>
      </c>
      <c r="F1392" s="9">
        <v>820</v>
      </c>
      <c r="G1392" s="9">
        <f>DATOS!$E1392*DATOS!$F1392</f>
        <v>56580</v>
      </c>
    </row>
    <row r="1393" spans="1:7" x14ac:dyDescent="0.3">
      <c r="A1393" s="10">
        <v>41186</v>
      </c>
      <c r="B1393" s="9" t="s">
        <v>22</v>
      </c>
      <c r="C1393" s="9" t="s">
        <v>27</v>
      </c>
      <c r="D1393" s="9" t="s">
        <v>31</v>
      </c>
      <c r="E1393" s="9">
        <v>3</v>
      </c>
      <c r="F1393" s="9">
        <v>800</v>
      </c>
      <c r="G1393" s="9">
        <f>DATOS!$E1393*DATOS!$F1393</f>
        <v>2400</v>
      </c>
    </row>
    <row r="1394" spans="1:7" x14ac:dyDescent="0.3">
      <c r="A1394" s="10">
        <v>41315</v>
      </c>
      <c r="B1394" s="9" t="s">
        <v>22</v>
      </c>
      <c r="C1394" s="9" t="s">
        <v>25</v>
      </c>
      <c r="D1394" s="9" t="s">
        <v>32</v>
      </c>
      <c r="E1394" s="9">
        <v>69</v>
      </c>
      <c r="F1394" s="9">
        <v>820</v>
      </c>
      <c r="G1394" s="9">
        <f>DATOS!$E1394*DATOS!$F1394</f>
        <v>56580</v>
      </c>
    </row>
    <row r="1395" spans="1:7" x14ac:dyDescent="0.3">
      <c r="A1395" s="10">
        <v>40597</v>
      </c>
      <c r="B1395" s="9" t="s">
        <v>22</v>
      </c>
      <c r="C1395" s="9" t="s">
        <v>29</v>
      </c>
      <c r="D1395" s="9" t="s">
        <v>37</v>
      </c>
      <c r="E1395" s="9">
        <v>2</v>
      </c>
      <c r="F1395" s="9">
        <v>1200</v>
      </c>
      <c r="G1395" s="9">
        <f>DATOS!$E1395*DATOS!$F1395</f>
        <v>2400</v>
      </c>
    </row>
    <row r="1396" spans="1:7" x14ac:dyDescent="0.3">
      <c r="A1396" s="10">
        <v>41163</v>
      </c>
      <c r="B1396" s="9" t="s">
        <v>22</v>
      </c>
      <c r="C1396" s="9" t="s">
        <v>26</v>
      </c>
      <c r="D1396" s="9" t="s">
        <v>32</v>
      </c>
      <c r="E1396" s="9">
        <v>26</v>
      </c>
      <c r="F1396" s="9">
        <v>820</v>
      </c>
      <c r="G1396" s="9">
        <f>DATOS!$E1396*DATOS!$F1396</f>
        <v>21320</v>
      </c>
    </row>
    <row r="1397" spans="1:7" x14ac:dyDescent="0.3">
      <c r="A1397" s="10">
        <v>41414</v>
      </c>
      <c r="B1397" s="9" t="s">
        <v>22</v>
      </c>
      <c r="C1397" s="9" t="s">
        <v>28</v>
      </c>
      <c r="D1397" s="9" t="s">
        <v>31</v>
      </c>
      <c r="E1397" s="9">
        <v>1</v>
      </c>
      <c r="F1397" s="9">
        <v>800</v>
      </c>
      <c r="G1397" s="9">
        <f>DATOS!$E1397*DATOS!$F1397</f>
        <v>800</v>
      </c>
    </row>
    <row r="1398" spans="1:7" x14ac:dyDescent="0.3">
      <c r="A1398" s="10">
        <v>40604</v>
      </c>
      <c r="B1398" s="9" t="s">
        <v>22</v>
      </c>
      <c r="C1398" s="9" t="s">
        <v>26</v>
      </c>
      <c r="D1398" s="9" t="s">
        <v>32</v>
      </c>
      <c r="E1398" s="9">
        <v>73</v>
      </c>
      <c r="F1398" s="9">
        <v>950</v>
      </c>
      <c r="G1398" s="9">
        <f>DATOS!$E1398*DATOS!$F1398</f>
        <v>69350</v>
      </c>
    </row>
    <row r="1399" spans="1:7" x14ac:dyDescent="0.3">
      <c r="A1399" s="10">
        <v>41431</v>
      </c>
      <c r="B1399" s="9" t="s">
        <v>22</v>
      </c>
      <c r="C1399" s="9" t="s">
        <v>24</v>
      </c>
      <c r="D1399" s="9" t="s">
        <v>30</v>
      </c>
      <c r="E1399" s="9">
        <v>27</v>
      </c>
      <c r="F1399" s="9">
        <v>450</v>
      </c>
      <c r="G1399" s="9">
        <f>DATOS!$E1399*DATOS!$F1399</f>
        <v>12150</v>
      </c>
    </row>
    <row r="1400" spans="1:7" x14ac:dyDescent="0.3">
      <c r="A1400" s="10">
        <v>40637</v>
      </c>
      <c r="B1400" s="9" t="s">
        <v>22</v>
      </c>
      <c r="C1400" s="9" t="s">
        <v>26</v>
      </c>
      <c r="D1400" s="9" t="s">
        <v>32</v>
      </c>
      <c r="E1400" s="9">
        <v>107</v>
      </c>
      <c r="F1400" s="9">
        <v>950</v>
      </c>
      <c r="G1400" s="9">
        <f>DATOS!$E1400*DATOS!$F1400</f>
        <v>101650</v>
      </c>
    </row>
    <row r="1401" spans="1:7" x14ac:dyDescent="0.3">
      <c r="A1401" s="10">
        <v>41717</v>
      </c>
      <c r="B1401" s="9" t="s">
        <v>22</v>
      </c>
      <c r="C1401" s="9" t="s">
        <v>26</v>
      </c>
      <c r="D1401" s="9" t="s">
        <v>31</v>
      </c>
      <c r="E1401" s="9">
        <v>80</v>
      </c>
      <c r="F1401" s="9">
        <v>800</v>
      </c>
      <c r="G1401" s="9">
        <f>DATOS!$E1401*DATOS!$F1401</f>
        <v>64000</v>
      </c>
    </row>
    <row r="1402" spans="1:7" x14ac:dyDescent="0.3">
      <c r="A1402" s="10">
        <v>41656</v>
      </c>
      <c r="B1402" s="9" t="s">
        <v>22</v>
      </c>
      <c r="C1402" s="9" t="s">
        <v>29</v>
      </c>
      <c r="D1402" s="9" t="s">
        <v>33</v>
      </c>
      <c r="E1402" s="9">
        <v>209</v>
      </c>
      <c r="F1402" s="9">
        <v>650</v>
      </c>
      <c r="G1402" s="9">
        <f>DATOS!$E1402*DATOS!$F1402</f>
        <v>135850</v>
      </c>
    </row>
    <row r="1403" spans="1:7" x14ac:dyDescent="0.3">
      <c r="A1403" s="10">
        <v>40338</v>
      </c>
      <c r="B1403" s="9" t="s">
        <v>22</v>
      </c>
      <c r="C1403" s="9" t="s">
        <v>25</v>
      </c>
      <c r="D1403" s="9" t="s">
        <v>37</v>
      </c>
      <c r="E1403" s="9">
        <v>40</v>
      </c>
      <c r="F1403" s="9">
        <v>1200</v>
      </c>
      <c r="G1403" s="9">
        <f>DATOS!$E1403*DATOS!$F1403</f>
        <v>48000</v>
      </c>
    </row>
    <row r="1404" spans="1:7" x14ac:dyDescent="0.3">
      <c r="A1404" s="10">
        <v>40695</v>
      </c>
      <c r="B1404" s="9" t="s">
        <v>22</v>
      </c>
      <c r="C1404" s="9" t="s">
        <v>28</v>
      </c>
      <c r="D1404" s="9" t="s">
        <v>31</v>
      </c>
      <c r="E1404" s="9">
        <v>8</v>
      </c>
      <c r="F1404" s="9">
        <v>800</v>
      </c>
      <c r="G1404" s="9">
        <f>DATOS!$E1404*DATOS!$F1404</f>
        <v>6400</v>
      </c>
    </row>
    <row r="1405" spans="1:7" x14ac:dyDescent="0.3">
      <c r="A1405" s="10">
        <v>41642</v>
      </c>
      <c r="B1405" s="9" t="s">
        <v>22</v>
      </c>
      <c r="C1405" s="9" t="s">
        <v>26</v>
      </c>
      <c r="D1405" s="9" t="s">
        <v>32</v>
      </c>
      <c r="E1405" s="9">
        <v>87</v>
      </c>
      <c r="F1405" s="9">
        <v>820</v>
      </c>
      <c r="G1405" s="9">
        <f>DATOS!$E1405*DATOS!$F1405</f>
        <v>71340</v>
      </c>
    </row>
    <row r="1406" spans="1:7" x14ac:dyDescent="0.3">
      <c r="A1406" s="10">
        <v>40541</v>
      </c>
      <c r="B1406" s="9" t="s">
        <v>22</v>
      </c>
      <c r="C1406" s="9" t="s">
        <v>24</v>
      </c>
      <c r="D1406" s="9" t="s">
        <v>32</v>
      </c>
      <c r="E1406" s="9">
        <v>21</v>
      </c>
      <c r="F1406" s="9">
        <v>820</v>
      </c>
      <c r="G1406" s="9">
        <f>DATOS!$E1406*DATOS!$F1406</f>
        <v>17220</v>
      </c>
    </row>
    <row r="1407" spans="1:7" x14ac:dyDescent="0.3">
      <c r="A1407" s="10">
        <v>40461</v>
      </c>
      <c r="B1407" s="9" t="s">
        <v>22</v>
      </c>
      <c r="C1407" s="9" t="s">
        <v>29</v>
      </c>
      <c r="D1407" s="9" t="s">
        <v>32</v>
      </c>
      <c r="E1407" s="9">
        <v>20</v>
      </c>
      <c r="F1407" s="9">
        <v>820</v>
      </c>
      <c r="G1407" s="9">
        <f>DATOS!$E1407*DATOS!$F1407</f>
        <v>16400</v>
      </c>
    </row>
    <row r="1408" spans="1:7" x14ac:dyDescent="0.3">
      <c r="A1408" s="10">
        <v>40856</v>
      </c>
      <c r="B1408" s="9" t="s">
        <v>22</v>
      </c>
      <c r="C1408" s="9" t="s">
        <v>27</v>
      </c>
      <c r="D1408" s="9" t="s">
        <v>37</v>
      </c>
      <c r="E1408" s="9">
        <v>53</v>
      </c>
      <c r="F1408" s="9">
        <v>1200</v>
      </c>
      <c r="G1408" s="9">
        <f>DATOS!$E1408*DATOS!$F1408</f>
        <v>63600</v>
      </c>
    </row>
    <row r="1409" spans="1:7" x14ac:dyDescent="0.3">
      <c r="A1409" s="10">
        <v>41043</v>
      </c>
      <c r="B1409" s="9" t="s">
        <v>22</v>
      </c>
      <c r="C1409" s="9" t="s">
        <v>27</v>
      </c>
      <c r="D1409" s="9" t="s">
        <v>32</v>
      </c>
      <c r="E1409" s="9">
        <v>5</v>
      </c>
      <c r="F1409" s="9">
        <v>820</v>
      </c>
      <c r="G1409" s="9">
        <f>DATOS!$E1409*DATOS!$F1409</f>
        <v>4100</v>
      </c>
    </row>
    <row r="1410" spans="1:7" x14ac:dyDescent="0.3">
      <c r="A1410" s="10">
        <v>41404</v>
      </c>
      <c r="B1410" s="9" t="s">
        <v>22</v>
      </c>
      <c r="C1410" s="9" t="s">
        <v>24</v>
      </c>
      <c r="D1410" s="9" t="s">
        <v>31</v>
      </c>
      <c r="E1410" s="9">
        <v>6</v>
      </c>
      <c r="F1410" s="9">
        <v>800</v>
      </c>
      <c r="G1410" s="9">
        <f>DATOS!$E1410*DATOS!$F1410</f>
        <v>4800</v>
      </c>
    </row>
    <row r="1411" spans="1:7" x14ac:dyDescent="0.3">
      <c r="A1411" s="10">
        <v>41271</v>
      </c>
      <c r="B1411" s="9" t="s">
        <v>22</v>
      </c>
      <c r="C1411" s="9" t="s">
        <v>28</v>
      </c>
      <c r="D1411" s="9" t="s">
        <v>32</v>
      </c>
      <c r="E1411" s="9">
        <v>3</v>
      </c>
      <c r="F1411" s="9">
        <v>820</v>
      </c>
      <c r="G1411" s="9">
        <f>DATOS!$E1411*DATOS!$F1411</f>
        <v>2460</v>
      </c>
    </row>
    <row r="1412" spans="1:7" x14ac:dyDescent="0.3">
      <c r="A1412" s="10">
        <v>40860</v>
      </c>
      <c r="B1412" s="9" t="s">
        <v>22</v>
      </c>
      <c r="C1412" s="9" t="s">
        <v>28</v>
      </c>
      <c r="D1412" s="9" t="s">
        <v>32</v>
      </c>
      <c r="E1412" s="9">
        <v>6</v>
      </c>
      <c r="F1412" s="9">
        <v>950</v>
      </c>
      <c r="G1412" s="9">
        <f>DATOS!$E1412*DATOS!$F1412</f>
        <v>5700</v>
      </c>
    </row>
    <row r="1413" spans="1:7" x14ac:dyDescent="0.3">
      <c r="A1413" s="10">
        <v>40566</v>
      </c>
      <c r="B1413" s="9" t="s">
        <v>22</v>
      </c>
      <c r="C1413" s="9" t="s">
        <v>28</v>
      </c>
      <c r="D1413" s="9" t="s">
        <v>32</v>
      </c>
      <c r="E1413" s="9">
        <v>1</v>
      </c>
      <c r="F1413" s="9">
        <v>950</v>
      </c>
      <c r="G1413" s="9">
        <f>DATOS!$E1413*DATOS!$F1413</f>
        <v>950</v>
      </c>
    </row>
    <row r="1414" spans="1:7" x14ac:dyDescent="0.3">
      <c r="A1414" s="10">
        <v>41947</v>
      </c>
      <c r="B1414" s="9" t="s">
        <v>22</v>
      </c>
      <c r="C1414" s="9" t="s">
        <v>28</v>
      </c>
      <c r="D1414" s="9" t="s">
        <v>32</v>
      </c>
      <c r="E1414" s="9">
        <v>5</v>
      </c>
      <c r="F1414" s="9">
        <v>820</v>
      </c>
      <c r="G1414" s="9">
        <f>DATOS!$E1414*DATOS!$F1414</f>
        <v>4100</v>
      </c>
    </row>
    <row r="1415" spans="1:7" x14ac:dyDescent="0.3">
      <c r="A1415" s="10">
        <v>40892</v>
      </c>
      <c r="B1415" s="9" t="s">
        <v>22</v>
      </c>
      <c r="C1415" s="9" t="s">
        <v>26</v>
      </c>
      <c r="D1415" s="9" t="s">
        <v>30</v>
      </c>
      <c r="E1415" s="9">
        <v>3</v>
      </c>
      <c r="F1415" s="9">
        <v>450</v>
      </c>
      <c r="G1415" s="9">
        <f>DATOS!$E1415*DATOS!$F1415</f>
        <v>1350</v>
      </c>
    </row>
    <row r="1416" spans="1:7" x14ac:dyDescent="0.3">
      <c r="A1416" s="10">
        <v>41687</v>
      </c>
      <c r="B1416" s="9" t="s">
        <v>22</v>
      </c>
      <c r="C1416" s="9" t="s">
        <v>24</v>
      </c>
      <c r="D1416" s="9" t="s">
        <v>32</v>
      </c>
      <c r="E1416" s="9">
        <v>111</v>
      </c>
      <c r="F1416" s="9">
        <v>820</v>
      </c>
      <c r="G1416" s="9">
        <f>DATOS!$E1416*DATOS!$F1416</f>
        <v>91020</v>
      </c>
    </row>
    <row r="1417" spans="1:7" x14ac:dyDescent="0.3">
      <c r="A1417" s="10">
        <v>40248</v>
      </c>
      <c r="B1417" s="9" t="s">
        <v>22</v>
      </c>
      <c r="C1417" s="9" t="s">
        <v>28</v>
      </c>
      <c r="D1417" s="9" t="s">
        <v>37</v>
      </c>
      <c r="E1417" s="9">
        <v>33</v>
      </c>
      <c r="F1417" s="9">
        <v>1200</v>
      </c>
      <c r="G1417" s="9">
        <f>DATOS!$E1417*DATOS!$F1417</f>
        <v>39600</v>
      </c>
    </row>
    <row r="1418" spans="1:7" x14ac:dyDescent="0.3">
      <c r="A1418" s="10">
        <v>41911</v>
      </c>
      <c r="B1418" s="9" t="s">
        <v>22</v>
      </c>
      <c r="C1418" s="9" t="s">
        <v>26</v>
      </c>
      <c r="D1418" s="9" t="s">
        <v>30</v>
      </c>
      <c r="E1418" s="9">
        <v>2</v>
      </c>
      <c r="F1418" s="9">
        <v>450</v>
      </c>
      <c r="G1418" s="9">
        <f>DATOS!$E1418*DATOS!$F1418</f>
        <v>900</v>
      </c>
    </row>
    <row r="1419" spans="1:7" x14ac:dyDescent="0.3">
      <c r="A1419" s="10">
        <v>40760</v>
      </c>
      <c r="B1419" s="9" t="s">
        <v>22</v>
      </c>
      <c r="C1419" s="9" t="s">
        <v>25</v>
      </c>
      <c r="D1419" s="9" t="s">
        <v>32</v>
      </c>
      <c r="E1419" s="9">
        <v>171</v>
      </c>
      <c r="F1419" s="9">
        <v>820</v>
      </c>
      <c r="G1419" s="9">
        <f>DATOS!$E1419*DATOS!$F1419</f>
        <v>140220</v>
      </c>
    </row>
    <row r="1420" spans="1:7" x14ac:dyDescent="0.3">
      <c r="A1420" s="10">
        <v>41648</v>
      </c>
      <c r="B1420" s="9" t="s">
        <v>22</v>
      </c>
      <c r="C1420" s="9" t="s">
        <v>26</v>
      </c>
      <c r="D1420" s="9" t="s">
        <v>31</v>
      </c>
      <c r="E1420" s="9">
        <v>11</v>
      </c>
      <c r="F1420" s="9">
        <v>800</v>
      </c>
      <c r="G1420" s="9">
        <f>DATOS!$E1420*DATOS!$F1420</f>
        <v>8800</v>
      </c>
    </row>
    <row r="1421" spans="1:7" x14ac:dyDescent="0.3">
      <c r="A1421" s="10">
        <v>41280</v>
      </c>
      <c r="B1421" s="9" t="s">
        <v>22</v>
      </c>
      <c r="C1421" s="9" t="s">
        <v>28</v>
      </c>
      <c r="D1421" s="9" t="s">
        <v>32</v>
      </c>
      <c r="E1421" s="9">
        <v>6</v>
      </c>
      <c r="F1421" s="9">
        <v>950</v>
      </c>
      <c r="G1421" s="9">
        <f>DATOS!$E1421*DATOS!$F1421</f>
        <v>5700</v>
      </c>
    </row>
    <row r="1422" spans="1:7" x14ac:dyDescent="0.3">
      <c r="A1422" s="10">
        <v>41143</v>
      </c>
      <c r="B1422" s="9" t="s">
        <v>22</v>
      </c>
      <c r="C1422" s="9" t="s">
        <v>25</v>
      </c>
      <c r="D1422" s="9" t="s">
        <v>37</v>
      </c>
      <c r="E1422" s="9">
        <v>44</v>
      </c>
      <c r="F1422" s="9">
        <v>1200</v>
      </c>
      <c r="G1422" s="9">
        <f>DATOS!$E1422*DATOS!$F1422</f>
        <v>52800</v>
      </c>
    </row>
    <row r="1423" spans="1:7" x14ac:dyDescent="0.3">
      <c r="A1423" s="10">
        <v>40898</v>
      </c>
      <c r="B1423" s="9" t="s">
        <v>22</v>
      </c>
      <c r="C1423" s="9" t="s">
        <v>29</v>
      </c>
      <c r="D1423" s="9" t="s">
        <v>32</v>
      </c>
      <c r="E1423" s="9">
        <v>41</v>
      </c>
      <c r="F1423" s="9">
        <v>950</v>
      </c>
      <c r="G1423" s="9">
        <f>DATOS!$E1423*DATOS!$F1423</f>
        <v>38950</v>
      </c>
    </row>
    <row r="1424" spans="1:7" x14ac:dyDescent="0.3">
      <c r="A1424" s="10">
        <v>40720</v>
      </c>
      <c r="B1424" s="9" t="s">
        <v>22</v>
      </c>
      <c r="C1424" s="9" t="s">
        <v>28</v>
      </c>
      <c r="D1424" s="9" t="s">
        <v>37</v>
      </c>
      <c r="E1424" s="9">
        <v>27</v>
      </c>
      <c r="F1424" s="9">
        <v>1200</v>
      </c>
      <c r="G1424" s="9">
        <f>DATOS!$E1424*DATOS!$F1424</f>
        <v>32400</v>
      </c>
    </row>
    <row r="1425" spans="1:7" x14ac:dyDescent="0.3">
      <c r="A1425" s="10">
        <v>41927</v>
      </c>
      <c r="B1425" s="9" t="s">
        <v>22</v>
      </c>
      <c r="C1425" s="9" t="s">
        <v>25</v>
      </c>
      <c r="D1425" s="9" t="s">
        <v>30</v>
      </c>
      <c r="E1425" s="9">
        <v>17</v>
      </c>
      <c r="F1425" s="9">
        <v>450</v>
      </c>
      <c r="G1425" s="9">
        <f>DATOS!$E1425*DATOS!$F1425</f>
        <v>7650</v>
      </c>
    </row>
    <row r="1426" spans="1:7" x14ac:dyDescent="0.3">
      <c r="A1426" s="10">
        <v>40274</v>
      </c>
      <c r="B1426" s="9" t="s">
        <v>22</v>
      </c>
      <c r="C1426" s="9" t="s">
        <v>25</v>
      </c>
      <c r="D1426" s="9" t="s">
        <v>32</v>
      </c>
      <c r="E1426" s="9">
        <v>37</v>
      </c>
      <c r="F1426" s="9">
        <v>820</v>
      </c>
      <c r="G1426" s="9">
        <f>DATOS!$E1426*DATOS!$F1426</f>
        <v>30340</v>
      </c>
    </row>
    <row r="1427" spans="1:7" x14ac:dyDescent="0.3">
      <c r="A1427" s="10">
        <v>41219</v>
      </c>
      <c r="B1427" s="9" t="s">
        <v>22</v>
      </c>
      <c r="C1427" s="9" t="s">
        <v>24</v>
      </c>
      <c r="D1427" s="9" t="s">
        <v>30</v>
      </c>
      <c r="E1427" s="9">
        <v>67</v>
      </c>
      <c r="F1427" s="9">
        <v>450</v>
      </c>
      <c r="G1427" s="9">
        <f>DATOS!$E1427*DATOS!$F1427</f>
        <v>30150</v>
      </c>
    </row>
    <row r="1428" spans="1:7" x14ac:dyDescent="0.3">
      <c r="A1428" s="10">
        <v>41295</v>
      </c>
      <c r="B1428" s="9" t="s">
        <v>22</v>
      </c>
      <c r="C1428" s="9" t="s">
        <v>26</v>
      </c>
      <c r="D1428" s="9" t="s">
        <v>31</v>
      </c>
      <c r="E1428" s="9">
        <v>26</v>
      </c>
      <c r="F1428" s="9">
        <v>800</v>
      </c>
      <c r="G1428" s="9">
        <f>DATOS!$E1428*DATOS!$F1428</f>
        <v>20800</v>
      </c>
    </row>
    <row r="1429" spans="1:7" x14ac:dyDescent="0.3">
      <c r="A1429" s="10">
        <v>40417</v>
      </c>
      <c r="B1429" s="9" t="s">
        <v>22</v>
      </c>
      <c r="C1429" s="9" t="s">
        <v>25</v>
      </c>
      <c r="D1429" s="9" t="s">
        <v>32</v>
      </c>
      <c r="E1429" s="9">
        <v>36</v>
      </c>
      <c r="F1429" s="9">
        <v>820</v>
      </c>
      <c r="G1429" s="9">
        <f>DATOS!$E1429*DATOS!$F1429</f>
        <v>29520</v>
      </c>
    </row>
    <row r="1430" spans="1:7" x14ac:dyDescent="0.3">
      <c r="A1430" s="10">
        <v>40719</v>
      </c>
      <c r="B1430" s="9" t="s">
        <v>22</v>
      </c>
      <c r="C1430" s="9" t="s">
        <v>24</v>
      </c>
      <c r="D1430" s="9" t="s">
        <v>37</v>
      </c>
      <c r="E1430" s="9">
        <v>38</v>
      </c>
      <c r="F1430" s="9">
        <v>1200</v>
      </c>
      <c r="G1430" s="9">
        <f>DATOS!$E1430*DATOS!$F1430</f>
        <v>45600</v>
      </c>
    </row>
    <row r="1431" spans="1:7" x14ac:dyDescent="0.3">
      <c r="A1431" s="10">
        <v>41387</v>
      </c>
      <c r="B1431" s="9" t="s">
        <v>22</v>
      </c>
      <c r="C1431" s="9" t="s">
        <v>26</v>
      </c>
      <c r="D1431" s="9" t="s">
        <v>32</v>
      </c>
      <c r="E1431" s="9">
        <v>62</v>
      </c>
      <c r="F1431" s="9">
        <v>820</v>
      </c>
      <c r="G1431" s="9">
        <f>DATOS!$E1431*DATOS!$F1431</f>
        <v>50840</v>
      </c>
    </row>
    <row r="1432" spans="1:7" x14ac:dyDescent="0.3">
      <c r="A1432" s="10">
        <v>41024</v>
      </c>
      <c r="B1432" s="9" t="s">
        <v>22</v>
      </c>
      <c r="C1432" s="9" t="s">
        <v>25</v>
      </c>
      <c r="D1432" s="9" t="s">
        <v>32</v>
      </c>
      <c r="E1432" s="9">
        <v>83</v>
      </c>
      <c r="F1432" s="9">
        <v>950</v>
      </c>
      <c r="G1432" s="9">
        <f>DATOS!$E1432*DATOS!$F1432</f>
        <v>78850</v>
      </c>
    </row>
    <row r="1433" spans="1:7" x14ac:dyDescent="0.3">
      <c r="A1433" s="10">
        <v>41415</v>
      </c>
      <c r="B1433" s="9" t="s">
        <v>22</v>
      </c>
      <c r="C1433" s="9" t="s">
        <v>29</v>
      </c>
      <c r="D1433" s="9" t="s">
        <v>32</v>
      </c>
      <c r="E1433" s="9">
        <v>30</v>
      </c>
      <c r="F1433" s="9">
        <v>820</v>
      </c>
      <c r="G1433" s="9">
        <f>DATOS!$E1433*DATOS!$F1433</f>
        <v>24600</v>
      </c>
    </row>
    <row r="1434" spans="1:7" x14ac:dyDescent="0.3">
      <c r="A1434" s="10">
        <v>41794</v>
      </c>
      <c r="B1434" s="9" t="s">
        <v>22</v>
      </c>
      <c r="C1434" s="9" t="s">
        <v>27</v>
      </c>
      <c r="D1434" s="9" t="s">
        <v>32</v>
      </c>
      <c r="E1434" s="9">
        <v>30</v>
      </c>
      <c r="F1434" s="9">
        <v>820</v>
      </c>
      <c r="G1434" s="9">
        <f>DATOS!$E1434*DATOS!$F1434</f>
        <v>24600</v>
      </c>
    </row>
    <row r="1435" spans="1:7" x14ac:dyDescent="0.3">
      <c r="A1435" s="10">
        <v>41457</v>
      </c>
      <c r="B1435" s="9" t="s">
        <v>22</v>
      </c>
      <c r="C1435" s="9" t="s">
        <v>25</v>
      </c>
      <c r="D1435" s="9" t="s">
        <v>37</v>
      </c>
      <c r="E1435" s="9">
        <v>36</v>
      </c>
      <c r="F1435" s="9">
        <v>1200</v>
      </c>
      <c r="G1435" s="9">
        <f>DATOS!$E1435*DATOS!$F1435</f>
        <v>43200</v>
      </c>
    </row>
    <row r="1436" spans="1:7" x14ac:dyDescent="0.3">
      <c r="A1436" s="10">
        <v>40897</v>
      </c>
      <c r="B1436" s="9" t="s">
        <v>22</v>
      </c>
      <c r="C1436" s="9" t="s">
        <v>24</v>
      </c>
      <c r="D1436" s="9" t="s">
        <v>33</v>
      </c>
      <c r="E1436" s="9">
        <v>33</v>
      </c>
      <c r="F1436" s="9">
        <v>650</v>
      </c>
      <c r="G1436" s="9">
        <f>DATOS!$E1436*DATOS!$F1436</f>
        <v>21450</v>
      </c>
    </row>
    <row r="1437" spans="1:7" x14ac:dyDescent="0.3">
      <c r="A1437" s="10">
        <v>41707</v>
      </c>
      <c r="B1437" s="9" t="s">
        <v>22</v>
      </c>
      <c r="C1437" s="9" t="s">
        <v>29</v>
      </c>
      <c r="D1437" s="9" t="s">
        <v>31</v>
      </c>
      <c r="E1437" s="9">
        <v>169</v>
      </c>
      <c r="F1437" s="9">
        <v>800</v>
      </c>
      <c r="G1437" s="9">
        <f>DATOS!$E1437*DATOS!$F1437</f>
        <v>135200</v>
      </c>
    </row>
    <row r="1438" spans="1:7" x14ac:dyDescent="0.3">
      <c r="A1438" s="10">
        <v>41426</v>
      </c>
      <c r="B1438" s="9" t="s">
        <v>22</v>
      </c>
      <c r="C1438" s="9" t="s">
        <v>24</v>
      </c>
      <c r="D1438" s="9" t="s">
        <v>32</v>
      </c>
      <c r="E1438" s="9">
        <v>25</v>
      </c>
      <c r="F1438" s="9">
        <v>820</v>
      </c>
      <c r="G1438" s="9">
        <f>DATOS!$E1438*DATOS!$F1438</f>
        <v>20500</v>
      </c>
    </row>
    <row r="1439" spans="1:7" x14ac:dyDescent="0.3">
      <c r="A1439" s="10">
        <v>40545</v>
      </c>
      <c r="B1439" s="9" t="s">
        <v>22</v>
      </c>
      <c r="C1439" s="9" t="s">
        <v>29</v>
      </c>
      <c r="D1439" s="9" t="s">
        <v>31</v>
      </c>
      <c r="E1439" s="9">
        <v>15</v>
      </c>
      <c r="F1439" s="9">
        <v>800</v>
      </c>
      <c r="G1439" s="9">
        <f>DATOS!$E1439*DATOS!$F1439</f>
        <v>12000</v>
      </c>
    </row>
    <row r="1440" spans="1:7" x14ac:dyDescent="0.3">
      <c r="A1440" s="10">
        <v>40869</v>
      </c>
      <c r="B1440" s="9" t="s">
        <v>22</v>
      </c>
      <c r="C1440" s="9" t="s">
        <v>25</v>
      </c>
      <c r="D1440" s="9" t="s">
        <v>32</v>
      </c>
      <c r="E1440" s="9">
        <v>24</v>
      </c>
      <c r="F1440" s="9">
        <v>820</v>
      </c>
      <c r="G1440" s="9">
        <f>DATOS!$E1440*DATOS!$F1440</f>
        <v>19680</v>
      </c>
    </row>
    <row r="1441" spans="1:7" x14ac:dyDescent="0.3">
      <c r="A1441" s="10">
        <v>40393</v>
      </c>
      <c r="B1441" s="9" t="s">
        <v>22</v>
      </c>
      <c r="C1441" s="9" t="s">
        <v>29</v>
      </c>
      <c r="D1441" s="9" t="s">
        <v>30</v>
      </c>
      <c r="E1441" s="9">
        <v>75</v>
      </c>
      <c r="F1441" s="9">
        <v>450</v>
      </c>
      <c r="G1441" s="9">
        <f>DATOS!$E1441*DATOS!$F1441</f>
        <v>33750</v>
      </c>
    </row>
    <row r="1442" spans="1:7" x14ac:dyDescent="0.3">
      <c r="A1442" s="10">
        <v>40196</v>
      </c>
      <c r="B1442" s="9" t="s">
        <v>22</v>
      </c>
      <c r="C1442" s="9" t="s">
        <v>25</v>
      </c>
      <c r="D1442" s="9" t="s">
        <v>37</v>
      </c>
      <c r="E1442" s="9">
        <v>68</v>
      </c>
      <c r="F1442" s="9">
        <v>1200</v>
      </c>
      <c r="G1442" s="9">
        <f>DATOS!$E1442*DATOS!$F1442</f>
        <v>81600</v>
      </c>
    </row>
    <row r="1443" spans="1:7" x14ac:dyDescent="0.3">
      <c r="A1443" s="10">
        <v>40240</v>
      </c>
      <c r="B1443" s="9" t="s">
        <v>22</v>
      </c>
      <c r="C1443" s="9" t="s">
        <v>26</v>
      </c>
      <c r="D1443" s="9" t="s">
        <v>33</v>
      </c>
      <c r="E1443" s="9">
        <v>40</v>
      </c>
      <c r="F1443" s="9">
        <v>650</v>
      </c>
      <c r="G1443" s="9">
        <f>DATOS!$E1443*DATOS!$F1443</f>
        <v>26000</v>
      </c>
    </row>
    <row r="1444" spans="1:7" x14ac:dyDescent="0.3">
      <c r="A1444" s="10">
        <v>41717</v>
      </c>
      <c r="B1444" s="9" t="s">
        <v>22</v>
      </c>
      <c r="C1444" s="9" t="s">
        <v>27</v>
      </c>
      <c r="D1444" s="9" t="s">
        <v>37</v>
      </c>
      <c r="E1444" s="9">
        <v>39</v>
      </c>
      <c r="F1444" s="9">
        <v>1200</v>
      </c>
      <c r="G1444" s="9">
        <f>DATOS!$E1444*DATOS!$F1444</f>
        <v>46800</v>
      </c>
    </row>
    <row r="1445" spans="1:7" x14ac:dyDescent="0.3">
      <c r="A1445" s="10">
        <v>41270</v>
      </c>
      <c r="B1445" s="9" t="s">
        <v>22</v>
      </c>
      <c r="C1445" s="9" t="s">
        <v>28</v>
      </c>
      <c r="D1445" s="9" t="s">
        <v>32</v>
      </c>
      <c r="E1445" s="9">
        <v>13</v>
      </c>
      <c r="F1445" s="9">
        <v>950</v>
      </c>
      <c r="G1445" s="9">
        <f>DATOS!$E1445*DATOS!$F1445</f>
        <v>12350</v>
      </c>
    </row>
    <row r="1446" spans="1:7" x14ac:dyDescent="0.3">
      <c r="A1446" s="10">
        <v>40415</v>
      </c>
      <c r="B1446" s="9" t="s">
        <v>22</v>
      </c>
      <c r="C1446" s="9" t="s">
        <v>25</v>
      </c>
      <c r="D1446" s="9" t="s">
        <v>31</v>
      </c>
      <c r="E1446" s="9">
        <v>126</v>
      </c>
      <c r="F1446" s="9">
        <v>800</v>
      </c>
      <c r="G1446" s="9">
        <f>DATOS!$E1446*DATOS!$F1446</f>
        <v>100800</v>
      </c>
    </row>
    <row r="1447" spans="1:7" x14ac:dyDescent="0.3">
      <c r="A1447" s="10">
        <v>41573</v>
      </c>
      <c r="B1447" s="9" t="s">
        <v>22</v>
      </c>
      <c r="C1447" s="9" t="s">
        <v>24</v>
      </c>
      <c r="D1447" s="9" t="s">
        <v>32</v>
      </c>
      <c r="E1447" s="9">
        <v>93</v>
      </c>
      <c r="F1447" s="9">
        <v>950</v>
      </c>
      <c r="G1447" s="9">
        <f>DATOS!$E1447*DATOS!$F1447</f>
        <v>88350</v>
      </c>
    </row>
    <row r="1448" spans="1:7" x14ac:dyDescent="0.3">
      <c r="A1448" s="10">
        <v>41177</v>
      </c>
      <c r="B1448" s="9" t="s">
        <v>22</v>
      </c>
      <c r="C1448" s="9" t="s">
        <v>26</v>
      </c>
      <c r="D1448" s="9" t="s">
        <v>32</v>
      </c>
      <c r="E1448" s="9">
        <v>61</v>
      </c>
      <c r="F1448" s="9">
        <v>950</v>
      </c>
      <c r="G1448" s="9">
        <f>DATOS!$E1448*DATOS!$F1448</f>
        <v>57950</v>
      </c>
    </row>
    <row r="1449" spans="1:7" x14ac:dyDescent="0.3">
      <c r="A1449" s="10">
        <v>41765</v>
      </c>
      <c r="B1449" s="9" t="s">
        <v>23</v>
      </c>
      <c r="C1449" s="9" t="s">
        <v>29</v>
      </c>
      <c r="D1449" s="9" t="s">
        <v>31</v>
      </c>
      <c r="E1449" s="9">
        <v>6</v>
      </c>
      <c r="F1449" s="9">
        <v>800</v>
      </c>
      <c r="G1449" s="9">
        <f>DATOS!$E1449*DATOS!$F1449</f>
        <v>4800</v>
      </c>
    </row>
    <row r="1450" spans="1:7" x14ac:dyDescent="0.3">
      <c r="A1450" s="10">
        <v>41236</v>
      </c>
      <c r="B1450" s="9" t="s">
        <v>23</v>
      </c>
      <c r="C1450" s="9" t="s">
        <v>24</v>
      </c>
      <c r="D1450" s="9" t="s">
        <v>32</v>
      </c>
      <c r="E1450" s="9">
        <v>20</v>
      </c>
      <c r="F1450" s="9">
        <v>950</v>
      </c>
      <c r="G1450" s="9">
        <f>DATOS!$E1450*DATOS!$F1450</f>
        <v>19000</v>
      </c>
    </row>
    <row r="1451" spans="1:7" x14ac:dyDescent="0.3">
      <c r="A1451" s="10">
        <v>40813</v>
      </c>
      <c r="B1451" s="9" t="s">
        <v>23</v>
      </c>
      <c r="C1451" s="9" t="s">
        <v>25</v>
      </c>
      <c r="D1451" s="9" t="s">
        <v>33</v>
      </c>
      <c r="E1451" s="9">
        <v>143</v>
      </c>
      <c r="F1451" s="9">
        <v>650</v>
      </c>
      <c r="G1451" s="9">
        <f>DATOS!$E1451*DATOS!$F1451</f>
        <v>92950</v>
      </c>
    </row>
    <row r="1452" spans="1:7" x14ac:dyDescent="0.3">
      <c r="A1452" s="10">
        <v>41560</v>
      </c>
      <c r="B1452" s="9" t="s">
        <v>23</v>
      </c>
      <c r="C1452" s="9" t="s">
        <v>25</v>
      </c>
      <c r="D1452" s="9" t="s">
        <v>37</v>
      </c>
      <c r="E1452" s="9">
        <v>66</v>
      </c>
      <c r="F1452" s="9">
        <v>1200</v>
      </c>
      <c r="G1452" s="9">
        <f>DATOS!$E1452*DATOS!$F1452</f>
        <v>79200</v>
      </c>
    </row>
    <row r="1453" spans="1:7" x14ac:dyDescent="0.3">
      <c r="A1453" s="10">
        <v>41225</v>
      </c>
      <c r="B1453" s="9" t="s">
        <v>23</v>
      </c>
      <c r="C1453" s="9" t="s">
        <v>28</v>
      </c>
      <c r="D1453" s="9" t="s">
        <v>37</v>
      </c>
      <c r="E1453" s="9">
        <v>12</v>
      </c>
      <c r="F1453" s="9">
        <v>1200</v>
      </c>
      <c r="G1453" s="9">
        <f>DATOS!$E1453*DATOS!$F1453</f>
        <v>14400</v>
      </c>
    </row>
    <row r="1454" spans="1:7" x14ac:dyDescent="0.3">
      <c r="A1454" s="10">
        <v>40513</v>
      </c>
      <c r="B1454" s="9" t="s">
        <v>23</v>
      </c>
      <c r="C1454" s="9" t="s">
        <v>24</v>
      </c>
      <c r="D1454" s="9" t="s">
        <v>31</v>
      </c>
      <c r="E1454" s="9">
        <v>27</v>
      </c>
      <c r="F1454" s="9">
        <v>800</v>
      </c>
      <c r="G1454" s="9">
        <f>DATOS!$E1454*DATOS!$F1454</f>
        <v>21600</v>
      </c>
    </row>
    <row r="1455" spans="1:7" x14ac:dyDescent="0.3">
      <c r="A1455" s="10">
        <v>40238</v>
      </c>
      <c r="B1455" s="9" t="s">
        <v>23</v>
      </c>
      <c r="C1455" s="9" t="s">
        <v>25</v>
      </c>
      <c r="D1455" s="9" t="s">
        <v>30</v>
      </c>
      <c r="E1455" s="9">
        <v>5</v>
      </c>
      <c r="F1455" s="9">
        <v>450</v>
      </c>
      <c r="G1455" s="9">
        <f>DATOS!$E1455*DATOS!$F1455</f>
        <v>2250</v>
      </c>
    </row>
    <row r="1456" spans="1:7" x14ac:dyDescent="0.3">
      <c r="A1456" s="10">
        <v>40810</v>
      </c>
      <c r="B1456" s="9" t="s">
        <v>23</v>
      </c>
      <c r="C1456" s="9" t="s">
        <v>27</v>
      </c>
      <c r="D1456" s="9" t="s">
        <v>33</v>
      </c>
      <c r="E1456" s="9">
        <v>14</v>
      </c>
      <c r="F1456" s="9">
        <v>650</v>
      </c>
      <c r="G1456" s="9">
        <f>DATOS!$E1456*DATOS!$F1456</f>
        <v>9100</v>
      </c>
    </row>
    <row r="1457" spans="1:7" x14ac:dyDescent="0.3">
      <c r="A1457" s="10">
        <v>40525</v>
      </c>
      <c r="B1457" s="9" t="s">
        <v>23</v>
      </c>
      <c r="C1457" s="9" t="s">
        <v>29</v>
      </c>
      <c r="D1457" s="9" t="s">
        <v>30</v>
      </c>
      <c r="E1457" s="9">
        <v>70</v>
      </c>
      <c r="F1457" s="9">
        <v>450</v>
      </c>
      <c r="G1457" s="9">
        <f>DATOS!$E1457*DATOS!$F1457</f>
        <v>31500</v>
      </c>
    </row>
    <row r="1458" spans="1:7" x14ac:dyDescent="0.3">
      <c r="A1458" s="10">
        <v>41210</v>
      </c>
      <c r="B1458" s="9" t="s">
        <v>23</v>
      </c>
      <c r="C1458" s="9" t="s">
        <v>27</v>
      </c>
      <c r="D1458" s="9" t="s">
        <v>31</v>
      </c>
      <c r="E1458" s="9">
        <v>9</v>
      </c>
      <c r="F1458" s="9">
        <v>800</v>
      </c>
      <c r="G1458" s="9">
        <f>DATOS!$E1458*DATOS!$F1458</f>
        <v>7200</v>
      </c>
    </row>
    <row r="1459" spans="1:7" x14ac:dyDescent="0.3">
      <c r="A1459" s="10">
        <v>41144</v>
      </c>
      <c r="B1459" s="9" t="s">
        <v>23</v>
      </c>
      <c r="C1459" s="9" t="s">
        <v>28</v>
      </c>
      <c r="D1459" s="9" t="s">
        <v>30</v>
      </c>
      <c r="E1459" s="9">
        <v>21</v>
      </c>
      <c r="F1459" s="9">
        <v>450</v>
      </c>
      <c r="G1459" s="9">
        <f>DATOS!$E1459*DATOS!$F1459</f>
        <v>9450</v>
      </c>
    </row>
    <row r="1460" spans="1:7" x14ac:dyDescent="0.3">
      <c r="A1460" s="10">
        <v>40437</v>
      </c>
      <c r="B1460" s="9" t="s">
        <v>23</v>
      </c>
      <c r="C1460" s="9" t="s">
        <v>24</v>
      </c>
      <c r="D1460" s="9" t="s">
        <v>32</v>
      </c>
      <c r="E1460" s="9">
        <v>70</v>
      </c>
      <c r="F1460" s="9">
        <v>820</v>
      </c>
      <c r="G1460" s="9">
        <f>DATOS!$E1460*DATOS!$F1460</f>
        <v>57400</v>
      </c>
    </row>
    <row r="1461" spans="1:7" x14ac:dyDescent="0.3">
      <c r="A1461" s="10">
        <v>41887</v>
      </c>
      <c r="B1461" s="9" t="s">
        <v>23</v>
      </c>
      <c r="C1461" s="9" t="s">
        <v>28</v>
      </c>
      <c r="D1461" s="9" t="s">
        <v>32</v>
      </c>
      <c r="E1461" s="9">
        <v>21</v>
      </c>
      <c r="F1461" s="9">
        <v>950</v>
      </c>
      <c r="G1461" s="9">
        <f>DATOS!$E1461*DATOS!$F1461</f>
        <v>19950</v>
      </c>
    </row>
    <row r="1462" spans="1:7" x14ac:dyDescent="0.3">
      <c r="A1462" s="10">
        <v>41615</v>
      </c>
      <c r="B1462" s="9" t="s">
        <v>23</v>
      </c>
      <c r="C1462" s="9" t="s">
        <v>25</v>
      </c>
      <c r="D1462" s="9" t="s">
        <v>30</v>
      </c>
      <c r="E1462" s="9">
        <v>3</v>
      </c>
      <c r="F1462" s="9">
        <v>450</v>
      </c>
      <c r="G1462" s="9">
        <f>DATOS!$E1462*DATOS!$F1462</f>
        <v>1350</v>
      </c>
    </row>
    <row r="1463" spans="1:7" x14ac:dyDescent="0.3">
      <c r="A1463" s="10">
        <v>41872</v>
      </c>
      <c r="B1463" s="9" t="s">
        <v>23</v>
      </c>
      <c r="C1463" s="9" t="s">
        <v>29</v>
      </c>
      <c r="D1463" s="9" t="s">
        <v>30</v>
      </c>
      <c r="E1463" s="9">
        <v>143</v>
      </c>
      <c r="F1463" s="9">
        <v>450</v>
      </c>
      <c r="G1463" s="9">
        <f>DATOS!$E1463*DATOS!$F1463</f>
        <v>64350</v>
      </c>
    </row>
    <row r="1464" spans="1:7" x14ac:dyDescent="0.3">
      <c r="A1464" s="10">
        <v>40843</v>
      </c>
      <c r="B1464" s="9" t="s">
        <v>23</v>
      </c>
      <c r="C1464" s="9" t="s">
        <v>27</v>
      </c>
      <c r="D1464" s="9" t="s">
        <v>32</v>
      </c>
      <c r="E1464" s="9">
        <v>12</v>
      </c>
      <c r="F1464" s="9">
        <v>820</v>
      </c>
      <c r="G1464" s="9">
        <f>DATOS!$E1464*DATOS!$F1464</f>
        <v>9840</v>
      </c>
    </row>
    <row r="1465" spans="1:7" x14ac:dyDescent="0.3">
      <c r="A1465" s="10">
        <v>41408</v>
      </c>
      <c r="B1465" s="9" t="s">
        <v>23</v>
      </c>
      <c r="C1465" s="9" t="s">
        <v>27</v>
      </c>
      <c r="D1465" s="9" t="s">
        <v>31</v>
      </c>
      <c r="E1465" s="9">
        <v>15</v>
      </c>
      <c r="F1465" s="9">
        <v>800</v>
      </c>
      <c r="G1465" s="9">
        <f>DATOS!$E1465*DATOS!$F1465</f>
        <v>12000</v>
      </c>
    </row>
    <row r="1466" spans="1:7" x14ac:dyDescent="0.3">
      <c r="A1466" s="10">
        <v>40482</v>
      </c>
      <c r="B1466" s="9" t="s">
        <v>23</v>
      </c>
      <c r="C1466" s="9" t="s">
        <v>27</v>
      </c>
      <c r="D1466" s="9" t="s">
        <v>37</v>
      </c>
      <c r="E1466" s="9">
        <v>28</v>
      </c>
      <c r="F1466" s="9">
        <v>1200</v>
      </c>
      <c r="G1466" s="9">
        <f>DATOS!$E1466*DATOS!$F1466</f>
        <v>33600</v>
      </c>
    </row>
    <row r="1467" spans="1:7" x14ac:dyDescent="0.3">
      <c r="A1467" s="10">
        <v>41383</v>
      </c>
      <c r="B1467" s="9" t="s">
        <v>23</v>
      </c>
      <c r="C1467" s="9" t="s">
        <v>26</v>
      </c>
      <c r="D1467" s="9" t="s">
        <v>30</v>
      </c>
      <c r="E1467" s="9">
        <v>51</v>
      </c>
      <c r="F1467" s="9">
        <v>450</v>
      </c>
      <c r="G1467" s="9">
        <f>DATOS!$E1467*DATOS!$F1467</f>
        <v>22950</v>
      </c>
    </row>
    <row r="1468" spans="1:7" x14ac:dyDescent="0.3">
      <c r="A1468" s="10">
        <v>40330</v>
      </c>
      <c r="B1468" s="9" t="s">
        <v>23</v>
      </c>
      <c r="C1468" s="9" t="s">
        <v>27</v>
      </c>
      <c r="D1468" s="9" t="s">
        <v>37</v>
      </c>
      <c r="E1468" s="9">
        <v>13</v>
      </c>
      <c r="F1468" s="9">
        <v>1200</v>
      </c>
      <c r="G1468" s="9">
        <f>DATOS!$E1468*DATOS!$F1468</f>
        <v>15600</v>
      </c>
    </row>
    <row r="1469" spans="1:7" x14ac:dyDescent="0.3">
      <c r="A1469" s="10">
        <v>41905</v>
      </c>
      <c r="B1469" s="9" t="s">
        <v>23</v>
      </c>
      <c r="C1469" s="9" t="s">
        <v>27</v>
      </c>
      <c r="D1469" s="9" t="s">
        <v>37</v>
      </c>
      <c r="E1469" s="9">
        <v>51</v>
      </c>
      <c r="F1469" s="9">
        <v>1200</v>
      </c>
      <c r="G1469" s="9">
        <f>DATOS!$E1469*DATOS!$F1469</f>
        <v>61200</v>
      </c>
    </row>
    <row r="1470" spans="1:7" x14ac:dyDescent="0.3">
      <c r="A1470" s="10">
        <v>41786</v>
      </c>
      <c r="B1470" s="9" t="s">
        <v>23</v>
      </c>
      <c r="C1470" s="9" t="s">
        <v>24</v>
      </c>
      <c r="D1470" s="9" t="s">
        <v>37</v>
      </c>
      <c r="E1470" s="9">
        <v>92</v>
      </c>
      <c r="F1470" s="9">
        <v>1200</v>
      </c>
      <c r="G1470" s="9">
        <f>DATOS!$E1470*DATOS!$F1470</f>
        <v>110400</v>
      </c>
    </row>
    <row r="1471" spans="1:7" x14ac:dyDescent="0.3">
      <c r="A1471" s="10">
        <v>41496</v>
      </c>
      <c r="B1471" s="9" t="s">
        <v>23</v>
      </c>
      <c r="C1471" s="9" t="s">
        <v>24</v>
      </c>
      <c r="D1471" s="9" t="s">
        <v>30</v>
      </c>
      <c r="E1471" s="9">
        <v>8</v>
      </c>
      <c r="F1471" s="9">
        <v>450</v>
      </c>
      <c r="G1471" s="9">
        <f>DATOS!$E1471*DATOS!$F1471</f>
        <v>3600</v>
      </c>
    </row>
    <row r="1472" spans="1:7" x14ac:dyDescent="0.3">
      <c r="A1472" s="10">
        <v>41728</v>
      </c>
      <c r="B1472" s="9" t="s">
        <v>23</v>
      </c>
      <c r="C1472" s="9" t="s">
        <v>26</v>
      </c>
      <c r="D1472" s="9" t="s">
        <v>32</v>
      </c>
      <c r="E1472" s="9">
        <v>38</v>
      </c>
      <c r="F1472" s="9">
        <v>820</v>
      </c>
      <c r="G1472" s="9">
        <f>DATOS!$E1472*DATOS!$F1472</f>
        <v>31160</v>
      </c>
    </row>
    <row r="1473" spans="1:7" x14ac:dyDescent="0.3">
      <c r="A1473" s="10">
        <v>41732</v>
      </c>
      <c r="B1473" s="9" t="s">
        <v>23</v>
      </c>
      <c r="C1473" s="9" t="s">
        <v>29</v>
      </c>
      <c r="D1473" s="9" t="s">
        <v>33</v>
      </c>
      <c r="E1473" s="9">
        <v>136</v>
      </c>
      <c r="F1473" s="9">
        <v>650</v>
      </c>
      <c r="G1473" s="9">
        <f>DATOS!$E1473*DATOS!$F1473</f>
        <v>88400</v>
      </c>
    </row>
    <row r="1474" spans="1:7" x14ac:dyDescent="0.3">
      <c r="A1474" s="10">
        <v>41430</v>
      </c>
      <c r="B1474" s="9" t="s">
        <v>23</v>
      </c>
      <c r="C1474" s="9" t="s">
        <v>26</v>
      </c>
      <c r="D1474" s="9" t="s">
        <v>33</v>
      </c>
      <c r="E1474" s="9">
        <v>64</v>
      </c>
      <c r="F1474" s="9">
        <v>650</v>
      </c>
      <c r="G1474" s="9">
        <f>DATOS!$E1474*DATOS!$F1474</f>
        <v>41600</v>
      </c>
    </row>
    <row r="1475" spans="1:7" x14ac:dyDescent="0.3">
      <c r="A1475" s="10">
        <v>40641</v>
      </c>
      <c r="B1475" s="9" t="s">
        <v>23</v>
      </c>
      <c r="C1475" s="9" t="s">
        <v>29</v>
      </c>
      <c r="D1475" s="9" t="s">
        <v>30</v>
      </c>
      <c r="E1475" s="9">
        <v>28</v>
      </c>
      <c r="F1475" s="9">
        <v>450</v>
      </c>
      <c r="G1475" s="9">
        <f>DATOS!$E1475*DATOS!$F1475</f>
        <v>12600</v>
      </c>
    </row>
    <row r="1476" spans="1:7" x14ac:dyDescent="0.3">
      <c r="A1476" s="10">
        <v>40643</v>
      </c>
      <c r="B1476" s="9" t="s">
        <v>23</v>
      </c>
      <c r="C1476" s="9" t="s">
        <v>29</v>
      </c>
      <c r="D1476" s="9" t="s">
        <v>37</v>
      </c>
      <c r="E1476" s="9">
        <v>30</v>
      </c>
      <c r="F1476" s="9">
        <v>1200</v>
      </c>
      <c r="G1476" s="9">
        <f>DATOS!$E1476*DATOS!$F1476</f>
        <v>36000</v>
      </c>
    </row>
    <row r="1477" spans="1:7" x14ac:dyDescent="0.3">
      <c r="A1477" s="10">
        <v>41659</v>
      </c>
      <c r="B1477" s="9" t="s">
        <v>23</v>
      </c>
      <c r="C1477" s="9" t="s">
        <v>26</v>
      </c>
      <c r="D1477" s="9" t="s">
        <v>33</v>
      </c>
      <c r="E1477" s="9">
        <v>51</v>
      </c>
      <c r="F1477" s="9">
        <v>650</v>
      </c>
      <c r="G1477" s="9">
        <f>DATOS!$E1477*DATOS!$F1477</f>
        <v>33150</v>
      </c>
    </row>
    <row r="1478" spans="1:7" x14ac:dyDescent="0.3">
      <c r="A1478" s="10">
        <v>41484</v>
      </c>
      <c r="B1478" s="9" t="s">
        <v>23</v>
      </c>
      <c r="C1478" s="9" t="s">
        <v>28</v>
      </c>
      <c r="D1478" s="9" t="s">
        <v>31</v>
      </c>
      <c r="E1478" s="9">
        <v>12</v>
      </c>
      <c r="F1478" s="9">
        <v>800</v>
      </c>
      <c r="G1478" s="9">
        <f>DATOS!$E1478*DATOS!$F1478</f>
        <v>9600</v>
      </c>
    </row>
    <row r="1479" spans="1:7" x14ac:dyDescent="0.3">
      <c r="A1479" s="10">
        <v>40456</v>
      </c>
      <c r="B1479" s="9" t="s">
        <v>23</v>
      </c>
      <c r="C1479" s="9" t="s">
        <v>28</v>
      </c>
      <c r="D1479" s="9" t="s">
        <v>32</v>
      </c>
      <c r="E1479" s="9">
        <v>6</v>
      </c>
      <c r="F1479" s="9">
        <v>950</v>
      </c>
      <c r="G1479" s="9">
        <f>DATOS!$E1479*DATOS!$F1479</f>
        <v>5700</v>
      </c>
    </row>
    <row r="1480" spans="1:7" x14ac:dyDescent="0.3">
      <c r="A1480" s="10">
        <v>41601</v>
      </c>
      <c r="B1480" s="9" t="s">
        <v>23</v>
      </c>
      <c r="C1480" s="9" t="s">
        <v>27</v>
      </c>
      <c r="D1480" s="9" t="s">
        <v>30</v>
      </c>
      <c r="E1480" s="9">
        <v>17</v>
      </c>
      <c r="F1480" s="9">
        <v>450</v>
      </c>
      <c r="G1480" s="9">
        <f>DATOS!$E1480*DATOS!$F1480</f>
        <v>7650</v>
      </c>
    </row>
    <row r="1481" spans="1:7" x14ac:dyDescent="0.3">
      <c r="A1481" s="10">
        <v>40289</v>
      </c>
      <c r="B1481" s="9" t="s">
        <v>23</v>
      </c>
      <c r="C1481" s="9" t="s">
        <v>26</v>
      </c>
      <c r="D1481" s="9" t="s">
        <v>32</v>
      </c>
      <c r="E1481" s="9">
        <v>25</v>
      </c>
      <c r="F1481" s="9">
        <v>820</v>
      </c>
      <c r="G1481" s="9">
        <f>DATOS!$E1481*DATOS!$F1481</f>
        <v>20500</v>
      </c>
    </row>
    <row r="1482" spans="1:7" x14ac:dyDescent="0.3">
      <c r="A1482" s="10">
        <v>41410</v>
      </c>
      <c r="B1482" s="9" t="s">
        <v>23</v>
      </c>
      <c r="C1482" s="9" t="s">
        <v>29</v>
      </c>
      <c r="D1482" s="9" t="s">
        <v>30</v>
      </c>
      <c r="E1482" s="9">
        <v>122</v>
      </c>
      <c r="F1482" s="9">
        <v>450</v>
      </c>
      <c r="G1482" s="9">
        <f>DATOS!$E1482*DATOS!$F1482</f>
        <v>54900</v>
      </c>
    </row>
    <row r="1483" spans="1:7" x14ac:dyDescent="0.3">
      <c r="A1483" s="10">
        <v>40943</v>
      </c>
      <c r="B1483" s="9" t="s">
        <v>23</v>
      </c>
      <c r="C1483" s="9" t="s">
        <v>25</v>
      </c>
      <c r="D1483" s="9" t="s">
        <v>31</v>
      </c>
      <c r="E1483" s="9">
        <v>13</v>
      </c>
      <c r="F1483" s="9">
        <v>800</v>
      </c>
      <c r="G1483" s="9">
        <f>DATOS!$E1483*DATOS!$F1483</f>
        <v>10400</v>
      </c>
    </row>
    <row r="1484" spans="1:7" x14ac:dyDescent="0.3">
      <c r="A1484" s="10">
        <v>40913</v>
      </c>
      <c r="B1484" s="9" t="s">
        <v>23</v>
      </c>
      <c r="C1484" s="9" t="s">
        <v>29</v>
      </c>
      <c r="D1484" s="9" t="s">
        <v>30</v>
      </c>
      <c r="E1484" s="9">
        <v>103</v>
      </c>
      <c r="F1484" s="9">
        <v>450</v>
      </c>
      <c r="G1484" s="9">
        <f>DATOS!$E1484*DATOS!$F1484</f>
        <v>46350</v>
      </c>
    </row>
    <row r="1485" spans="1:7" x14ac:dyDescent="0.3">
      <c r="A1485" s="10">
        <v>40553</v>
      </c>
      <c r="B1485" s="9" t="s">
        <v>23</v>
      </c>
      <c r="C1485" s="9" t="s">
        <v>26</v>
      </c>
      <c r="D1485" s="9" t="s">
        <v>32</v>
      </c>
      <c r="E1485" s="9">
        <v>43</v>
      </c>
      <c r="F1485" s="9">
        <v>820</v>
      </c>
      <c r="G1485" s="9">
        <f>DATOS!$E1485*DATOS!$F1485</f>
        <v>35260</v>
      </c>
    </row>
    <row r="1486" spans="1:7" x14ac:dyDescent="0.3">
      <c r="A1486" s="10">
        <v>41961</v>
      </c>
      <c r="B1486" s="9" t="s">
        <v>23</v>
      </c>
      <c r="C1486" s="9" t="s">
        <v>24</v>
      </c>
      <c r="D1486" s="9" t="s">
        <v>37</v>
      </c>
      <c r="E1486" s="9">
        <v>98</v>
      </c>
      <c r="F1486" s="9">
        <v>1200</v>
      </c>
      <c r="G1486" s="9">
        <f>DATOS!$E1486*DATOS!$F1486</f>
        <v>117600</v>
      </c>
    </row>
    <row r="1487" spans="1:7" x14ac:dyDescent="0.3">
      <c r="A1487" s="10">
        <v>40999</v>
      </c>
      <c r="B1487" s="9" t="s">
        <v>23</v>
      </c>
      <c r="C1487" s="9" t="s">
        <v>25</v>
      </c>
      <c r="D1487" s="9" t="s">
        <v>32</v>
      </c>
      <c r="E1487" s="9">
        <v>48</v>
      </c>
      <c r="F1487" s="9">
        <v>950</v>
      </c>
      <c r="G1487" s="9">
        <f>DATOS!$E1487*DATOS!$F1487</f>
        <v>45600</v>
      </c>
    </row>
    <row r="1488" spans="1:7" x14ac:dyDescent="0.3">
      <c r="A1488" s="10">
        <v>41520</v>
      </c>
      <c r="B1488" s="9" t="s">
        <v>23</v>
      </c>
      <c r="C1488" s="9" t="s">
        <v>28</v>
      </c>
      <c r="D1488" s="9" t="s">
        <v>33</v>
      </c>
      <c r="E1488" s="9">
        <v>7</v>
      </c>
      <c r="F1488" s="9">
        <v>650</v>
      </c>
      <c r="G1488" s="9">
        <f>DATOS!$E1488*DATOS!$F1488</f>
        <v>4550</v>
      </c>
    </row>
    <row r="1489" spans="1:7" x14ac:dyDescent="0.3">
      <c r="A1489" s="10">
        <v>41053</v>
      </c>
      <c r="B1489" s="9" t="s">
        <v>23</v>
      </c>
      <c r="C1489" s="9" t="s">
        <v>27</v>
      </c>
      <c r="D1489" s="9" t="s">
        <v>33</v>
      </c>
      <c r="E1489" s="9">
        <v>2</v>
      </c>
      <c r="F1489" s="9">
        <v>650</v>
      </c>
      <c r="G1489" s="9">
        <f>DATOS!$E1489*DATOS!$F1489</f>
        <v>1300</v>
      </c>
    </row>
    <row r="1490" spans="1:7" x14ac:dyDescent="0.3">
      <c r="A1490" s="10">
        <v>41671</v>
      </c>
      <c r="B1490" s="9" t="s">
        <v>23</v>
      </c>
      <c r="C1490" s="9" t="s">
        <v>26</v>
      </c>
      <c r="D1490" s="9" t="s">
        <v>33</v>
      </c>
      <c r="E1490" s="9">
        <v>157</v>
      </c>
      <c r="F1490" s="9">
        <v>650</v>
      </c>
      <c r="G1490" s="9">
        <f>DATOS!$E1490*DATOS!$F1490</f>
        <v>102050</v>
      </c>
    </row>
    <row r="1491" spans="1:7" x14ac:dyDescent="0.3">
      <c r="A1491" s="10">
        <v>41470</v>
      </c>
      <c r="B1491" s="9" t="s">
        <v>23</v>
      </c>
      <c r="C1491" s="9" t="s">
        <v>29</v>
      </c>
      <c r="D1491" s="9" t="s">
        <v>37</v>
      </c>
      <c r="E1491" s="9">
        <v>24</v>
      </c>
      <c r="F1491" s="9">
        <v>1200</v>
      </c>
      <c r="G1491" s="9">
        <f>DATOS!$E1491*DATOS!$F1491</f>
        <v>28800</v>
      </c>
    </row>
    <row r="1492" spans="1:7" x14ac:dyDescent="0.3">
      <c r="A1492" s="10">
        <v>41544</v>
      </c>
      <c r="B1492" s="9" t="s">
        <v>23</v>
      </c>
      <c r="C1492" s="9" t="s">
        <v>26</v>
      </c>
      <c r="D1492" s="9" t="s">
        <v>37</v>
      </c>
      <c r="E1492" s="9">
        <v>114</v>
      </c>
      <c r="F1492" s="9">
        <v>1200</v>
      </c>
      <c r="G1492" s="9">
        <f>DATOS!$E1492*DATOS!$F1492</f>
        <v>136800</v>
      </c>
    </row>
    <row r="1493" spans="1:7" x14ac:dyDescent="0.3">
      <c r="A1493" s="10">
        <v>41465</v>
      </c>
      <c r="B1493" s="9" t="s">
        <v>23</v>
      </c>
      <c r="C1493" s="9" t="s">
        <v>26</v>
      </c>
      <c r="D1493" s="9" t="s">
        <v>31</v>
      </c>
      <c r="E1493" s="9">
        <v>53</v>
      </c>
      <c r="F1493" s="9">
        <v>800</v>
      </c>
      <c r="G1493" s="9">
        <f>DATOS!$E1493*DATOS!$F1493</f>
        <v>42400</v>
      </c>
    </row>
    <row r="1494" spans="1:7" x14ac:dyDescent="0.3">
      <c r="A1494" s="10">
        <v>41686</v>
      </c>
      <c r="B1494" s="9" t="s">
        <v>23</v>
      </c>
      <c r="C1494" s="9" t="s">
        <v>29</v>
      </c>
      <c r="D1494" s="9" t="s">
        <v>32</v>
      </c>
      <c r="E1494" s="9">
        <v>175</v>
      </c>
      <c r="F1494" s="9">
        <v>950</v>
      </c>
      <c r="G1494" s="9">
        <f>DATOS!$E1494*DATOS!$F1494</f>
        <v>166250</v>
      </c>
    </row>
    <row r="1495" spans="1:7" x14ac:dyDescent="0.3">
      <c r="A1495" s="10">
        <v>40522</v>
      </c>
      <c r="B1495" s="9" t="s">
        <v>23</v>
      </c>
      <c r="C1495" s="9" t="s">
        <v>26</v>
      </c>
      <c r="D1495" s="9" t="s">
        <v>30</v>
      </c>
      <c r="E1495" s="9">
        <v>39</v>
      </c>
      <c r="F1495" s="9">
        <v>450</v>
      </c>
      <c r="G1495" s="9">
        <f>DATOS!$E1495*DATOS!$F1495</f>
        <v>17550</v>
      </c>
    </row>
    <row r="1496" spans="1:7" x14ac:dyDescent="0.3">
      <c r="A1496" s="10">
        <v>40452</v>
      </c>
      <c r="B1496" s="9" t="s">
        <v>23</v>
      </c>
      <c r="C1496" s="9" t="s">
        <v>29</v>
      </c>
      <c r="D1496" s="9" t="s">
        <v>37</v>
      </c>
      <c r="E1496" s="9">
        <v>66</v>
      </c>
      <c r="F1496" s="9">
        <v>1200</v>
      </c>
      <c r="G1496" s="9">
        <f>DATOS!$E1496*DATOS!$F1496</f>
        <v>79200</v>
      </c>
    </row>
    <row r="1497" spans="1:7" x14ac:dyDescent="0.3">
      <c r="A1497" s="10">
        <v>41340</v>
      </c>
      <c r="B1497" s="9" t="s">
        <v>23</v>
      </c>
      <c r="C1497" s="9" t="s">
        <v>25</v>
      </c>
      <c r="D1497" s="9" t="s">
        <v>32</v>
      </c>
      <c r="E1497" s="9">
        <v>193</v>
      </c>
      <c r="F1497" s="9">
        <v>820</v>
      </c>
      <c r="G1497" s="9">
        <f>DATOS!$E1497*DATOS!$F1497</f>
        <v>158260</v>
      </c>
    </row>
    <row r="1498" spans="1:7" x14ac:dyDescent="0.3">
      <c r="A1498" s="10">
        <v>41013</v>
      </c>
      <c r="B1498" s="9" t="s">
        <v>23</v>
      </c>
      <c r="C1498" s="9" t="s">
        <v>25</v>
      </c>
      <c r="D1498" s="9" t="s">
        <v>32</v>
      </c>
      <c r="E1498" s="9">
        <v>37</v>
      </c>
      <c r="F1498" s="9">
        <v>820</v>
      </c>
      <c r="G1498" s="9">
        <f>DATOS!$E1498*DATOS!$F1498</f>
        <v>30340</v>
      </c>
    </row>
  </sheetData>
  <sortState xmlns:xlrd2="http://schemas.microsoft.com/office/spreadsheetml/2017/richdata2" ref="B2:G1498">
    <sortCondition ref="G2:G1498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8C6-6E47-437F-8FF8-405BED74A1CE}">
  <dimension ref="A3:AF12"/>
  <sheetViews>
    <sheetView tabSelected="1" zoomScale="70" zoomScaleNormal="70" workbookViewId="0">
      <selection activeCell="A15" sqref="A15"/>
    </sheetView>
  </sheetViews>
  <sheetFormatPr defaultRowHeight="14.4" x14ac:dyDescent="0.3"/>
  <cols>
    <col min="1" max="1" width="18.44140625" bestFit="1" customWidth="1"/>
    <col min="2" max="6" width="16.5546875" bestFit="1" customWidth="1"/>
    <col min="7" max="7" width="15.21875" bestFit="1" customWidth="1"/>
    <col min="8" max="12" width="11.88671875" bestFit="1" customWidth="1"/>
    <col min="13" max="13" width="14.33203125" bestFit="1" customWidth="1"/>
    <col min="14" max="18" width="15.21875" bestFit="1" customWidth="1"/>
    <col min="19" max="19" width="17.77734375" bestFit="1" customWidth="1"/>
    <col min="20" max="24" width="14.88671875" bestFit="1" customWidth="1"/>
    <col min="25" max="25" width="17.6640625" bestFit="1" customWidth="1"/>
    <col min="26" max="30" width="16" bestFit="1" customWidth="1"/>
    <col min="31" max="31" width="18.5546875" bestFit="1" customWidth="1"/>
    <col min="32" max="32" width="10.88671875" bestFit="1" customWidth="1"/>
  </cols>
  <sheetData>
    <row r="3" spans="1:32" x14ac:dyDescent="0.3">
      <c r="A3" s="11" t="s">
        <v>44</v>
      </c>
      <c r="B3" s="11" t="s">
        <v>36</v>
      </c>
      <c r="C3" s="11" t="s">
        <v>45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3">
      <c r="A4" s="5"/>
      <c r="B4" s="13" t="s">
        <v>32</v>
      </c>
      <c r="C4" s="12"/>
      <c r="D4" s="12"/>
      <c r="E4" s="12"/>
      <c r="F4" s="12"/>
      <c r="G4" s="13" t="s">
        <v>51</v>
      </c>
      <c r="H4" s="13" t="s">
        <v>31</v>
      </c>
      <c r="I4" s="12"/>
      <c r="J4" s="12"/>
      <c r="K4" s="12"/>
      <c r="L4" s="12"/>
      <c r="M4" s="13" t="s">
        <v>52</v>
      </c>
      <c r="N4" s="13" t="s">
        <v>33</v>
      </c>
      <c r="O4" s="12"/>
      <c r="P4" s="12"/>
      <c r="Q4" s="12"/>
      <c r="R4" s="12"/>
      <c r="S4" s="13" t="s">
        <v>53</v>
      </c>
      <c r="T4" s="13" t="s">
        <v>30</v>
      </c>
      <c r="U4" s="12"/>
      <c r="V4" s="12"/>
      <c r="W4" s="12"/>
      <c r="X4" s="12"/>
      <c r="Y4" s="13" t="s">
        <v>54</v>
      </c>
      <c r="Z4" s="13" t="s">
        <v>37</v>
      </c>
      <c r="AA4" s="12"/>
      <c r="AB4" s="12"/>
      <c r="AC4" s="12"/>
      <c r="AD4" s="12"/>
      <c r="AE4" s="13" t="s">
        <v>55</v>
      </c>
      <c r="AF4" s="13" t="s">
        <v>42</v>
      </c>
    </row>
    <row r="5" spans="1:32" x14ac:dyDescent="0.3">
      <c r="A5" s="11" t="s">
        <v>35</v>
      </c>
      <c r="B5" s="14" t="s">
        <v>46</v>
      </c>
      <c r="C5" s="14" t="s">
        <v>47</v>
      </c>
      <c r="D5" s="14" t="s">
        <v>48</v>
      </c>
      <c r="E5" s="14" t="s">
        <v>49</v>
      </c>
      <c r="F5" s="14" t="s">
        <v>50</v>
      </c>
      <c r="G5" s="12"/>
      <c r="H5" s="14" t="s">
        <v>46</v>
      </c>
      <c r="I5" s="14" t="s">
        <v>47</v>
      </c>
      <c r="J5" s="14" t="s">
        <v>48</v>
      </c>
      <c r="K5" s="14" t="s">
        <v>49</v>
      </c>
      <c r="L5" s="14" t="s">
        <v>50</v>
      </c>
      <c r="M5" s="12"/>
      <c r="N5" s="14" t="s">
        <v>46</v>
      </c>
      <c r="O5" s="14" t="s">
        <v>47</v>
      </c>
      <c r="P5" s="14" t="s">
        <v>48</v>
      </c>
      <c r="Q5" s="14" t="s">
        <v>49</v>
      </c>
      <c r="R5" s="14" t="s">
        <v>50</v>
      </c>
      <c r="S5" s="12"/>
      <c r="T5" s="14" t="s">
        <v>46</v>
      </c>
      <c r="U5" s="14" t="s">
        <v>47</v>
      </c>
      <c r="V5" s="14" t="s">
        <v>48</v>
      </c>
      <c r="W5" s="14" t="s">
        <v>49</v>
      </c>
      <c r="X5" s="14" t="s">
        <v>50</v>
      </c>
      <c r="Y5" s="12"/>
      <c r="Z5" s="14" t="s">
        <v>46</v>
      </c>
      <c r="AA5" s="14" t="s">
        <v>47</v>
      </c>
      <c r="AB5" s="14" t="s">
        <v>48</v>
      </c>
      <c r="AC5" s="14" t="s">
        <v>49</v>
      </c>
      <c r="AD5" s="14" t="s">
        <v>50</v>
      </c>
      <c r="AE5" s="12"/>
      <c r="AF5" s="12"/>
    </row>
    <row r="6" spans="1:32" x14ac:dyDescent="0.3">
      <c r="A6" s="5" t="s">
        <v>27</v>
      </c>
      <c r="B6" s="3">
        <v>452.88449402090504</v>
      </c>
      <c r="C6" s="3">
        <v>421.33303600954741</v>
      </c>
      <c r="D6" s="3">
        <v>504.4817792635219</v>
      </c>
      <c r="E6" s="3">
        <v>412.08677830243744</v>
      </c>
      <c r="F6" s="3">
        <v>549.382401631319</v>
      </c>
      <c r="G6" s="3">
        <v>2340.1684892277308</v>
      </c>
      <c r="H6" s="3">
        <v>355.27479741614513</v>
      </c>
      <c r="I6" s="3">
        <v>513.90769589938122</v>
      </c>
      <c r="J6" s="3">
        <v>409.99132436937742</v>
      </c>
      <c r="K6" s="3">
        <v>560.90139623449863</v>
      </c>
      <c r="L6" s="3">
        <v>572.44514044955747</v>
      </c>
      <c r="M6" s="3">
        <v>2412.5203543689599</v>
      </c>
      <c r="N6" s="3">
        <v>263.70386388444592</v>
      </c>
      <c r="O6" s="3">
        <v>170.39056447526912</v>
      </c>
      <c r="P6" s="3">
        <v>223.9963373808861</v>
      </c>
      <c r="Q6" s="3">
        <v>249.44886680769241</v>
      </c>
      <c r="R6" s="3">
        <v>163.1880191137077</v>
      </c>
      <c r="S6" s="3">
        <v>1070.7276516620013</v>
      </c>
      <c r="T6" s="3">
        <v>126</v>
      </c>
      <c r="U6" s="3">
        <v>103</v>
      </c>
      <c r="V6" s="3">
        <v>35</v>
      </c>
      <c r="W6" s="3">
        <v>94</v>
      </c>
      <c r="X6" s="3">
        <v>12</v>
      </c>
      <c r="Y6" s="3">
        <v>370</v>
      </c>
      <c r="Z6" s="3">
        <v>631.58629738527611</v>
      </c>
      <c r="AA6" s="3">
        <v>312.42534011016602</v>
      </c>
      <c r="AB6" s="3">
        <v>279.6988508729371</v>
      </c>
      <c r="AC6" s="3">
        <v>448.59073387109061</v>
      </c>
      <c r="AD6" s="3">
        <v>793.14161535675476</v>
      </c>
      <c r="AE6" s="3">
        <v>2465.4428375962243</v>
      </c>
      <c r="AF6" s="3">
        <v>8658.8593328549177</v>
      </c>
    </row>
    <row r="7" spans="1:32" x14ac:dyDescent="0.3">
      <c r="A7" s="5" t="s">
        <v>29</v>
      </c>
      <c r="B7" s="3">
        <v>1084.6336723499376</v>
      </c>
      <c r="C7" s="3">
        <v>1319.5875840386493</v>
      </c>
      <c r="D7" s="3">
        <v>1900.2326328039994</v>
      </c>
      <c r="E7" s="3">
        <v>1221.8335806657303</v>
      </c>
      <c r="F7" s="3">
        <v>760.68805098321809</v>
      </c>
      <c r="G7" s="3">
        <v>6286.9755208415345</v>
      </c>
      <c r="H7" s="3">
        <v>1439.5838576805145</v>
      </c>
      <c r="I7" s="3">
        <v>1495.837631842915</v>
      </c>
      <c r="J7" s="3">
        <v>659.4519529011128</v>
      </c>
      <c r="K7" s="3">
        <v>1280.5983839283685</v>
      </c>
      <c r="L7" s="3">
        <v>1137.2508216709671</v>
      </c>
      <c r="M7" s="3">
        <v>6012.7226480238769</v>
      </c>
      <c r="N7" s="3">
        <v>164.5867464329269</v>
      </c>
      <c r="O7" s="3">
        <v>851.53378193106232</v>
      </c>
      <c r="P7" s="3">
        <v>386.2394452555547</v>
      </c>
      <c r="Q7" s="3">
        <v>66</v>
      </c>
      <c r="R7" s="3">
        <v>1220.2197086551841</v>
      </c>
      <c r="S7" s="3">
        <v>2688.5796822747279</v>
      </c>
      <c r="T7" s="3">
        <v>606.51841807748622</v>
      </c>
      <c r="U7" s="3">
        <v>503.2228584876255</v>
      </c>
      <c r="V7" s="3">
        <v>348</v>
      </c>
      <c r="W7" s="3">
        <v>287.44436658285611</v>
      </c>
      <c r="X7" s="3">
        <v>913.98997397698236</v>
      </c>
      <c r="Y7" s="3">
        <v>2659.1756171249499</v>
      </c>
      <c r="Z7" s="3">
        <v>608.15716717795362</v>
      </c>
      <c r="AA7" s="3">
        <v>1193.5419447750126</v>
      </c>
      <c r="AB7" s="3">
        <v>594.99183715604988</v>
      </c>
      <c r="AC7" s="3">
        <v>562.67667456780566</v>
      </c>
      <c r="AD7" s="3">
        <v>438.04011346545548</v>
      </c>
      <c r="AE7" s="3">
        <v>3397.4077371422768</v>
      </c>
      <c r="AF7" s="3">
        <v>21044.861205407367</v>
      </c>
    </row>
    <row r="8" spans="1:32" x14ac:dyDescent="0.3">
      <c r="A8" s="5" t="s">
        <v>25</v>
      </c>
      <c r="B8" s="3">
        <v>825.10201467797174</v>
      </c>
      <c r="C8" s="3">
        <v>1524.8547313975168</v>
      </c>
      <c r="D8" s="3">
        <v>1181.5640573411231</v>
      </c>
      <c r="E8" s="3">
        <v>1027.9248591930041</v>
      </c>
      <c r="F8" s="3">
        <v>1625.9428600923491</v>
      </c>
      <c r="G8" s="3">
        <v>6185.3885227019655</v>
      </c>
      <c r="H8" s="3">
        <v>641.45831630501652</v>
      </c>
      <c r="I8" s="3">
        <v>1318.90795698641</v>
      </c>
      <c r="J8" s="3">
        <v>1269.1711806391349</v>
      </c>
      <c r="K8" s="3">
        <v>1072.9470354981354</v>
      </c>
      <c r="L8" s="3">
        <v>984.30198673278528</v>
      </c>
      <c r="M8" s="3">
        <v>5286.7864761614819</v>
      </c>
      <c r="N8" s="3">
        <v>787.8236183817337</v>
      </c>
      <c r="O8" s="3">
        <v>1107.4506662477388</v>
      </c>
      <c r="P8" s="3">
        <v>540.0153001145552</v>
      </c>
      <c r="Q8" s="3">
        <v>200</v>
      </c>
      <c r="R8" s="3">
        <v>538</v>
      </c>
      <c r="S8" s="3">
        <v>3173.2895847440277</v>
      </c>
      <c r="T8" s="3">
        <v>415.81776776450261</v>
      </c>
      <c r="U8" s="3">
        <v>472</v>
      </c>
      <c r="V8" s="3">
        <v>81</v>
      </c>
      <c r="W8" s="3">
        <v>64.308286397667999</v>
      </c>
      <c r="X8" s="3">
        <v>256</v>
      </c>
      <c r="Y8" s="3">
        <v>1289.1260541621707</v>
      </c>
      <c r="Z8" s="3">
        <v>671</v>
      </c>
      <c r="AA8" s="3">
        <v>387.5121184126034</v>
      </c>
      <c r="AB8" s="3">
        <v>233</v>
      </c>
      <c r="AC8" s="3">
        <v>504</v>
      </c>
      <c r="AD8" s="3">
        <v>413.24947127857217</v>
      </c>
      <c r="AE8" s="3">
        <v>2208.7615896911757</v>
      </c>
      <c r="AF8" s="3">
        <v>18143.352227460822</v>
      </c>
    </row>
    <row r="9" spans="1:32" x14ac:dyDescent="0.3">
      <c r="A9" s="5" t="s">
        <v>24</v>
      </c>
      <c r="B9" s="3">
        <v>1057.0282242633705</v>
      </c>
      <c r="C9" s="3">
        <v>960.12637898122045</v>
      </c>
      <c r="D9" s="3">
        <v>935.073153399327</v>
      </c>
      <c r="E9" s="3">
        <v>1240.3109234434369</v>
      </c>
      <c r="F9" s="3">
        <v>843.80716521579177</v>
      </c>
      <c r="G9" s="3">
        <v>5036.3458453031462</v>
      </c>
      <c r="H9" s="3">
        <v>886.73626355360284</v>
      </c>
      <c r="I9" s="3">
        <v>817.52793131383123</v>
      </c>
      <c r="J9" s="3">
        <v>323.80645508811097</v>
      </c>
      <c r="K9" s="3">
        <v>652.46738049370992</v>
      </c>
      <c r="L9" s="3">
        <v>473.60892273805837</v>
      </c>
      <c r="M9" s="3">
        <v>3154.1469531873131</v>
      </c>
      <c r="N9" s="3">
        <v>564.16031701039503</v>
      </c>
      <c r="O9" s="3">
        <v>388.16590654759722</v>
      </c>
      <c r="P9" s="3">
        <v>265.5690703526318</v>
      </c>
      <c r="Q9" s="3">
        <v>239.14508063486059</v>
      </c>
      <c r="R9" s="3">
        <v>130</v>
      </c>
      <c r="S9" s="3">
        <v>1587.0403745454846</v>
      </c>
      <c r="T9" s="3">
        <v>203</v>
      </c>
      <c r="U9" s="3">
        <v>371.80774174148496</v>
      </c>
      <c r="V9" s="3">
        <v>212</v>
      </c>
      <c r="W9" s="3">
        <v>35</v>
      </c>
      <c r="X9" s="3">
        <v>158</v>
      </c>
      <c r="Y9" s="3">
        <v>979.80774174148496</v>
      </c>
      <c r="Z9" s="3">
        <v>668.12875494696038</v>
      </c>
      <c r="AA9" s="3">
        <v>207.39686414015191</v>
      </c>
      <c r="AB9" s="3">
        <v>405.72417701050989</v>
      </c>
      <c r="AC9" s="3">
        <v>615.64819859779163</v>
      </c>
      <c r="AD9" s="3">
        <v>631.74757622999437</v>
      </c>
      <c r="AE9" s="3">
        <v>2528.6455709254083</v>
      </c>
      <c r="AF9" s="3">
        <v>13285.986485702837</v>
      </c>
    </row>
    <row r="10" spans="1:32" x14ac:dyDescent="0.3">
      <c r="A10" s="5" t="s">
        <v>26</v>
      </c>
      <c r="B10" s="3">
        <v>504</v>
      </c>
      <c r="C10" s="3">
        <v>1064.3520624822374</v>
      </c>
      <c r="D10" s="3">
        <v>613.1382044442845</v>
      </c>
      <c r="E10" s="3">
        <v>613.06852569644877</v>
      </c>
      <c r="F10" s="3">
        <v>1156.8787708817156</v>
      </c>
      <c r="G10" s="3">
        <v>3951.4375635046863</v>
      </c>
      <c r="H10" s="3">
        <v>1195.5862336462546</v>
      </c>
      <c r="I10" s="3">
        <v>754.63759604908046</v>
      </c>
      <c r="J10" s="3">
        <v>451.86109480142034</v>
      </c>
      <c r="K10" s="3">
        <v>794.25712133584989</v>
      </c>
      <c r="L10" s="3">
        <v>800.74134030413256</v>
      </c>
      <c r="M10" s="3">
        <v>3997.0833861367382</v>
      </c>
      <c r="N10" s="3">
        <v>226</v>
      </c>
      <c r="O10" s="3">
        <v>355.1310671736793</v>
      </c>
      <c r="P10" s="3">
        <v>288.42039083767816</v>
      </c>
      <c r="Q10" s="3">
        <v>294</v>
      </c>
      <c r="R10" s="3">
        <v>591.21598229704932</v>
      </c>
      <c r="S10" s="3">
        <v>1754.7674403084068</v>
      </c>
      <c r="T10" s="3">
        <v>199.29247349644021</v>
      </c>
      <c r="U10" s="3">
        <v>171.4759923853116</v>
      </c>
      <c r="V10" s="3">
        <v>198</v>
      </c>
      <c r="W10" s="3">
        <v>648.02346295850543</v>
      </c>
      <c r="X10" s="3">
        <v>49</v>
      </c>
      <c r="Y10" s="3">
        <v>1265.7919288402572</v>
      </c>
      <c r="Z10" s="3">
        <v>711.94382192667319</v>
      </c>
      <c r="AA10" s="3">
        <v>643.34306203256483</v>
      </c>
      <c r="AB10" s="3">
        <v>247.1355673985156</v>
      </c>
      <c r="AC10" s="3">
        <v>535</v>
      </c>
      <c r="AD10" s="3">
        <v>369</v>
      </c>
      <c r="AE10" s="3">
        <v>2506.4224513577537</v>
      </c>
      <c r="AF10" s="3">
        <v>13475.502770147843</v>
      </c>
    </row>
    <row r="11" spans="1:32" x14ac:dyDescent="0.3">
      <c r="A11" s="5" t="s">
        <v>28</v>
      </c>
      <c r="B11" s="3">
        <v>428.0513631028262</v>
      </c>
      <c r="C11" s="3">
        <v>206.36022532618759</v>
      </c>
      <c r="D11" s="3">
        <v>676.76435421498638</v>
      </c>
      <c r="E11" s="3">
        <v>348.42167749105209</v>
      </c>
      <c r="F11" s="3">
        <v>372.93572282174398</v>
      </c>
      <c r="G11" s="3">
        <v>2032.5333429567963</v>
      </c>
      <c r="H11" s="3">
        <v>275.83306787905781</v>
      </c>
      <c r="I11" s="3">
        <v>372.22813257916329</v>
      </c>
      <c r="J11" s="3">
        <v>161.99948721332751</v>
      </c>
      <c r="K11" s="3">
        <v>431.56727091258529</v>
      </c>
      <c r="L11" s="3">
        <v>131.90319567454509</v>
      </c>
      <c r="M11" s="3">
        <v>1373.531154258679</v>
      </c>
      <c r="N11" s="3">
        <v>21</v>
      </c>
      <c r="O11" s="3">
        <v>116</v>
      </c>
      <c r="P11" s="3">
        <v>240.40586458982438</v>
      </c>
      <c r="Q11" s="3">
        <v>49</v>
      </c>
      <c r="R11" s="3">
        <v>87.374751574041397</v>
      </c>
      <c r="S11" s="3">
        <v>513.78061616386572</v>
      </c>
      <c r="T11" s="3">
        <v>214.72417701051</v>
      </c>
      <c r="U11" s="3">
        <v>63.938035048462901</v>
      </c>
      <c r="V11" s="3">
        <v>212.89188299815359</v>
      </c>
      <c r="W11" s="3">
        <v>174.8096049205524</v>
      </c>
      <c r="X11" s="3">
        <v>89</v>
      </c>
      <c r="Y11" s="3">
        <v>755.36369997767883</v>
      </c>
      <c r="Z11" s="3">
        <v>148.56463386681639</v>
      </c>
      <c r="AA11" s="3">
        <v>112</v>
      </c>
      <c r="AB11" s="3">
        <v>348.33753623438361</v>
      </c>
      <c r="AC11" s="3">
        <v>351.16038074941594</v>
      </c>
      <c r="AD11" s="3">
        <v>195.17985626975749</v>
      </c>
      <c r="AE11" s="3">
        <v>1155.2424071203734</v>
      </c>
      <c r="AF11" s="3">
        <v>5830.4512204773937</v>
      </c>
    </row>
    <row r="12" spans="1:32" x14ac:dyDescent="0.3">
      <c r="A12" s="5" t="s">
        <v>42</v>
      </c>
      <c r="B12" s="3">
        <v>4351.699768415011</v>
      </c>
      <c r="C12" s="3">
        <v>5496.6140182353593</v>
      </c>
      <c r="D12" s="3">
        <v>5811.2541814672413</v>
      </c>
      <c r="E12" s="3">
        <v>4863.6463447921096</v>
      </c>
      <c r="F12" s="3">
        <v>5309.6349716261375</v>
      </c>
      <c r="G12" s="3">
        <v>25832.849284535856</v>
      </c>
      <c r="H12" s="3">
        <v>4794.4725364805918</v>
      </c>
      <c r="I12" s="3">
        <v>5273.0469446707821</v>
      </c>
      <c r="J12" s="3">
        <v>3276.2814950124839</v>
      </c>
      <c r="K12" s="3">
        <v>4792.7385884031482</v>
      </c>
      <c r="L12" s="3">
        <v>4100.2514075700456</v>
      </c>
      <c r="M12" s="3">
        <v>22236.790972137049</v>
      </c>
      <c r="N12" s="3">
        <v>2027.2745457095016</v>
      </c>
      <c r="O12" s="3">
        <v>2988.6719863753469</v>
      </c>
      <c r="P12" s="3">
        <v>1944.6464085311304</v>
      </c>
      <c r="Q12" s="3">
        <v>1097.5939474425531</v>
      </c>
      <c r="R12" s="3">
        <v>2729.9984616399829</v>
      </c>
      <c r="S12" s="3">
        <v>10788.185349698515</v>
      </c>
      <c r="T12" s="3">
        <v>1765.352836348939</v>
      </c>
      <c r="U12" s="3">
        <v>1685.4446276628851</v>
      </c>
      <c r="V12" s="3">
        <v>1086.8918829981535</v>
      </c>
      <c r="W12" s="3">
        <v>1303.5857208595819</v>
      </c>
      <c r="X12" s="3">
        <v>1477.9899739769824</v>
      </c>
      <c r="Y12" s="3">
        <v>7319.2650418465419</v>
      </c>
      <c r="Z12" s="3">
        <v>3439.3806753036797</v>
      </c>
      <c r="AA12" s="3">
        <v>2856.2193294704989</v>
      </c>
      <c r="AB12" s="3">
        <v>2108.8879686723963</v>
      </c>
      <c r="AC12" s="3">
        <v>3017.0759877861037</v>
      </c>
      <c r="AD12" s="3">
        <v>2840.3586326005343</v>
      </c>
      <c r="AE12" s="3">
        <v>14261.922593833211</v>
      </c>
      <c r="AF12" s="3">
        <v>80439.01324205118</v>
      </c>
    </row>
  </sheetData>
  <mergeCells count="11">
    <mergeCell ref="T4:X4"/>
    <mergeCell ref="Y4:Y5"/>
    <mergeCell ref="Z4:AD4"/>
    <mergeCell ref="AE4:AE5"/>
    <mergeCell ref="AF4:AF5"/>
    <mergeCell ref="B4:F4"/>
    <mergeCell ref="G4:G5"/>
    <mergeCell ref="H4:L4"/>
    <mergeCell ref="M4:M5"/>
    <mergeCell ref="N4:R4"/>
    <mergeCell ref="S4:S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C339-4E25-4E12-AE6C-50472DAC3383}">
  <dimension ref="A3:J23"/>
  <sheetViews>
    <sheetView workbookViewId="0">
      <selection activeCell="E22" sqref="E22"/>
    </sheetView>
  </sheetViews>
  <sheetFormatPr defaultColWidth="11.5546875" defaultRowHeight="14.4" x14ac:dyDescent="0.3"/>
  <cols>
    <col min="1" max="1" width="16.5546875" bestFit="1" customWidth="1"/>
    <col min="2" max="2" width="16.44140625" bestFit="1" customWidth="1"/>
    <col min="5" max="5" width="17.6640625" bestFit="1" customWidth="1"/>
    <col min="6" max="6" width="16.44140625" bestFit="1" customWidth="1"/>
    <col min="9" max="9" width="16.5546875" bestFit="1" customWidth="1"/>
    <col min="10" max="10" width="16.44140625" bestFit="1" customWidth="1"/>
  </cols>
  <sheetData>
    <row r="3" spans="1:10" x14ac:dyDescent="0.3">
      <c r="A3" s="2" t="s">
        <v>38</v>
      </c>
      <c r="B3" t="s">
        <v>39</v>
      </c>
      <c r="E3" s="2" t="s">
        <v>38</v>
      </c>
      <c r="F3" t="s">
        <v>39</v>
      </c>
      <c r="I3" s="2" t="s">
        <v>38</v>
      </c>
      <c r="J3" t="s">
        <v>39</v>
      </c>
    </row>
    <row r="4" spans="1:10" x14ac:dyDescent="0.3">
      <c r="A4" s="1" t="s">
        <v>11</v>
      </c>
      <c r="B4" s="3">
        <v>3061</v>
      </c>
      <c r="E4" s="1" t="s">
        <v>27</v>
      </c>
      <c r="F4" s="3">
        <v>8658.8593328549159</v>
      </c>
      <c r="I4" s="1" t="s">
        <v>32</v>
      </c>
      <c r="J4" s="3">
        <v>25869.849284535863</v>
      </c>
    </row>
    <row r="5" spans="1:10" x14ac:dyDescent="0.3">
      <c r="A5" s="1" t="s">
        <v>17</v>
      </c>
      <c r="B5" s="3">
        <v>2814</v>
      </c>
      <c r="E5" s="1" t="s">
        <v>29</v>
      </c>
      <c r="F5" s="3">
        <v>21044.861205407364</v>
      </c>
      <c r="I5" s="1" t="s">
        <v>31</v>
      </c>
      <c r="J5" s="3">
        <v>22236.790972137052</v>
      </c>
    </row>
    <row r="6" spans="1:10" x14ac:dyDescent="0.3">
      <c r="A6" s="1" t="s">
        <v>15</v>
      </c>
      <c r="B6" s="3">
        <v>4031</v>
      </c>
      <c r="E6" s="1" t="s">
        <v>25</v>
      </c>
      <c r="F6" s="3">
        <v>18180.352227460822</v>
      </c>
      <c r="I6" s="1" t="s">
        <v>33</v>
      </c>
      <c r="J6" s="3">
        <v>10788.185349698513</v>
      </c>
    </row>
    <row r="7" spans="1:10" x14ac:dyDescent="0.3">
      <c r="A7" s="1" t="s">
        <v>19</v>
      </c>
      <c r="B7" s="3">
        <v>3232</v>
      </c>
      <c r="E7" s="1" t="s">
        <v>24</v>
      </c>
      <c r="F7" s="3">
        <v>13285.986485702837</v>
      </c>
      <c r="I7" s="1" t="s">
        <v>30</v>
      </c>
      <c r="J7" s="3">
        <v>7319.2650418465419</v>
      </c>
    </row>
    <row r="8" spans="1:10" x14ac:dyDescent="0.3">
      <c r="A8" s="1" t="s">
        <v>23</v>
      </c>
      <c r="B8" s="3">
        <v>2601</v>
      </c>
      <c r="E8" s="1" t="s">
        <v>26</v>
      </c>
      <c r="F8" s="3">
        <v>13475.502770147843</v>
      </c>
      <c r="I8" s="1" t="s">
        <v>37</v>
      </c>
      <c r="J8" s="3">
        <v>14261.922593833213</v>
      </c>
    </row>
    <row r="9" spans="1:10" x14ac:dyDescent="0.3">
      <c r="A9" s="1" t="s">
        <v>12</v>
      </c>
      <c r="B9" s="3">
        <v>2961</v>
      </c>
      <c r="E9" s="1" t="s">
        <v>28</v>
      </c>
      <c r="F9" s="3">
        <v>5830.4512204773928</v>
      </c>
    </row>
    <row r="10" spans="1:10" x14ac:dyDescent="0.3">
      <c r="A10" s="1" t="s">
        <v>8</v>
      </c>
      <c r="B10" s="3">
        <v>7830.6781478140365</v>
      </c>
    </row>
    <row r="11" spans="1:10" x14ac:dyDescent="0.3">
      <c r="A11" s="1" t="s">
        <v>10</v>
      </c>
      <c r="B11" s="3">
        <v>3919</v>
      </c>
    </row>
    <row r="12" spans="1:10" x14ac:dyDescent="0.3">
      <c r="A12" s="1" t="s">
        <v>6</v>
      </c>
      <c r="B12" s="3">
        <v>7607.5919471122334</v>
      </c>
    </row>
    <row r="13" spans="1:10" x14ac:dyDescent="0.3">
      <c r="A13" s="1" t="s">
        <v>7</v>
      </c>
      <c r="B13" s="3">
        <v>6313.764646664612</v>
      </c>
    </row>
    <row r="14" spans="1:10" x14ac:dyDescent="0.3">
      <c r="A14" s="1" t="s">
        <v>21</v>
      </c>
      <c r="B14" s="3">
        <v>2751</v>
      </c>
    </row>
    <row r="15" spans="1:10" x14ac:dyDescent="0.3">
      <c r="A15" s="1" t="s">
        <v>22</v>
      </c>
      <c r="B15" s="3">
        <v>2809</v>
      </c>
    </row>
    <row r="16" spans="1:10" x14ac:dyDescent="0.3">
      <c r="A16" s="1" t="s">
        <v>4</v>
      </c>
      <c r="B16" s="3">
        <v>3064</v>
      </c>
    </row>
    <row r="17" spans="1:2" x14ac:dyDescent="0.3">
      <c r="A17" s="1" t="s">
        <v>9</v>
      </c>
      <c r="B17" s="3">
        <v>904.61914610208396</v>
      </c>
    </row>
    <row r="18" spans="1:2" x14ac:dyDescent="0.3">
      <c r="A18" s="1" t="s">
        <v>14</v>
      </c>
      <c r="B18" s="3">
        <v>3236</v>
      </c>
    </row>
    <row r="19" spans="1:2" x14ac:dyDescent="0.3">
      <c r="A19" s="1" t="s">
        <v>5</v>
      </c>
      <c r="B19" s="3">
        <v>10760.359354358216</v>
      </c>
    </row>
    <row r="20" spans="1:2" x14ac:dyDescent="0.3">
      <c r="A20" s="1" t="s">
        <v>16</v>
      </c>
      <c r="B20" s="3">
        <v>2452</v>
      </c>
    </row>
    <row r="21" spans="1:2" x14ac:dyDescent="0.3">
      <c r="A21" s="1" t="s">
        <v>18</v>
      </c>
      <c r="B21" s="3">
        <v>3428</v>
      </c>
    </row>
    <row r="22" spans="1:2" x14ac:dyDescent="0.3">
      <c r="A22" s="1" t="s">
        <v>20</v>
      </c>
      <c r="B22" s="3">
        <v>3275</v>
      </c>
    </row>
    <row r="23" spans="1:2" x14ac:dyDescent="0.3">
      <c r="A23" s="1" t="s">
        <v>13</v>
      </c>
      <c r="B23" s="3">
        <v>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7661-5636-4AD7-9190-0BEF1BA6B28C}">
  <dimension ref="N3:S40"/>
  <sheetViews>
    <sheetView showGridLines="0" workbookViewId="0">
      <selection activeCell="Q21" sqref="Q21"/>
    </sheetView>
  </sheetViews>
  <sheetFormatPr defaultColWidth="11.5546875" defaultRowHeight="14.4" x14ac:dyDescent="0.3"/>
  <cols>
    <col min="1" max="1" width="2.6640625" customWidth="1"/>
    <col min="9" max="9" width="4" customWidth="1"/>
    <col min="13" max="13" width="9.6640625" customWidth="1"/>
    <col min="14" max="14" width="13.33203125" customWidth="1"/>
    <col min="15" max="15" width="9.6640625" customWidth="1"/>
    <col min="16" max="16" width="17.6640625" bestFit="1" customWidth="1"/>
    <col min="17" max="17" width="10.6640625" customWidth="1"/>
    <col min="18" max="18" width="16.6640625" customWidth="1"/>
    <col min="20" max="20" width="20.33203125" bestFit="1" customWidth="1"/>
  </cols>
  <sheetData>
    <row r="3" spans="14:19" x14ac:dyDescent="0.3">
      <c r="N3" s="8" t="s">
        <v>34</v>
      </c>
      <c r="O3" s="8"/>
      <c r="P3" s="8" t="s">
        <v>40</v>
      </c>
      <c r="Q3" s="8"/>
      <c r="R3" s="6" t="s">
        <v>36</v>
      </c>
      <c r="S3" s="6" t="s">
        <v>3</v>
      </c>
    </row>
    <row r="4" spans="14:19" x14ac:dyDescent="0.3">
      <c r="N4" s="4" t="str" cm="1">
        <f t="array" ref="N4:N40">IFERROR(INDEX(td!$A:$A,IF(td!$A$4:$A$40&lt;&gt;"",ROW($A$4:$A$40),"")),"")</f>
        <v>Albacete</v>
      </c>
      <c r="O4" s="4">
        <f>IFERROR(_xlfn.XLOOKUP(N4,td!A:A,td!B:B),"")</f>
        <v>3061</v>
      </c>
      <c r="P4" s="4" t="str" cm="1">
        <f t="array" ref="P4:P9">IFERROR(INDEX(td!$E:$E,IF(td!$E$4:$E$9&lt;&gt;"",ROW($E$4:$E$9),"")),"")</f>
        <v>C.C. Nervion</v>
      </c>
      <c r="Q4" s="4">
        <f>IFERROR(_xlfn.XLOOKUP(P4,td!E:E,td!F:F),"")</f>
        <v>8658.8593328549159</v>
      </c>
      <c r="R4" s="4" t="str" cm="1">
        <f t="array" ref="R4:R8">IFERROR(INDEX(td!$I:$I,IF(td!$I$4:$I$8&lt;&gt;"",ROW($I$4:$I$8),"")),"")</f>
        <v>Aspiradora</v>
      </c>
      <c r="S4" s="4">
        <f>IFERROR(_xlfn.XLOOKUP(R4,td!I:I,td!J:J),"")</f>
        <v>25869.849284535863</v>
      </c>
    </row>
    <row r="5" spans="14:19" x14ac:dyDescent="0.3">
      <c r="N5" s="5" t="str">
        <v>Almeria</v>
      </c>
      <c r="O5" s="7">
        <f>IFERROR(_xlfn.XLOOKUP(N5,td!A:A,td!B:B),"")</f>
        <v>2814</v>
      </c>
      <c r="P5" s="5" t="str">
        <v>C.C. Vicar</v>
      </c>
      <c r="Q5" s="7">
        <f>IFERROR(_xlfn.XLOOKUP(P5,td!E:E,td!F:F),"")</f>
        <v>21044.861205407364</v>
      </c>
      <c r="R5" s="5" t="str">
        <v>Frigorifico</v>
      </c>
      <c r="S5" s="7">
        <f>IFERROR(_xlfn.XLOOKUP(R5,td!I:I,td!J:J),"")</f>
        <v>22236.790972137052</v>
      </c>
    </row>
    <row r="6" spans="14:19" x14ac:dyDescent="0.3">
      <c r="N6" s="5" t="str">
        <v>Asturias</v>
      </c>
      <c r="O6" s="7">
        <f>IFERROR(_xlfn.XLOOKUP(N6,td!A:A,td!B:B),"")</f>
        <v>4031</v>
      </c>
      <c r="P6" s="5" t="str">
        <v>Carrefour</v>
      </c>
      <c r="Q6" s="7">
        <f>IFERROR(_xlfn.XLOOKUP(P6,td!E:E,td!F:F),"")</f>
        <v>18180.352227460822</v>
      </c>
      <c r="R6" s="5" t="str">
        <v>Home Cinema</v>
      </c>
      <c r="S6" s="7">
        <f>IFERROR(_xlfn.XLOOKUP(R6,td!I:I,td!J:J),"")</f>
        <v>10788.185349698513</v>
      </c>
    </row>
    <row r="7" spans="14:19" x14ac:dyDescent="0.3">
      <c r="N7" s="5" t="str">
        <v>Badajoz</v>
      </c>
      <c r="O7" s="7">
        <f>IFERROR(_xlfn.XLOOKUP(N7,td!A:A,td!B:B),"")</f>
        <v>3232</v>
      </c>
      <c r="P7" s="5" t="str">
        <v>El corte ingles</v>
      </c>
      <c r="Q7" s="7">
        <f>IFERROR(_xlfn.XLOOKUP(P7,td!E:E,td!F:F),"")</f>
        <v>13285.986485702837</v>
      </c>
      <c r="R7" s="5" t="str">
        <v>Lavadora 8 Kg</v>
      </c>
      <c r="S7" s="7">
        <f>IFERROR(_xlfn.XLOOKUP(R7,td!I:I,td!J:J),"")</f>
        <v>7319.2650418465419</v>
      </c>
    </row>
    <row r="8" spans="14:19" x14ac:dyDescent="0.3">
      <c r="N8" s="5" t="str">
        <v>Caceres</v>
      </c>
      <c r="O8" s="7">
        <f>IFERROR(_xlfn.XLOOKUP(N8,td!A:A,td!B:B),"")</f>
        <v>2601</v>
      </c>
      <c r="P8" s="5" t="str">
        <v>Metromar</v>
      </c>
      <c r="Q8" s="7">
        <f>IFERROR(_xlfn.XLOOKUP(P8,td!E:E,td!F:F),"")</f>
        <v>13475.502770147843</v>
      </c>
      <c r="R8" s="5" t="str">
        <v>TV 32 pulgadas</v>
      </c>
      <c r="S8" s="7">
        <f>IFERROR(_xlfn.XLOOKUP(R8,td!I:I,td!J:J),"")</f>
        <v>14261.922593833213</v>
      </c>
    </row>
    <row r="9" spans="14:19" x14ac:dyDescent="0.3">
      <c r="N9" s="5" t="str">
        <v>Cadiz</v>
      </c>
      <c r="O9" s="7">
        <f>IFERROR(_xlfn.XLOOKUP(N9,td!A:A,td!B:B),"")</f>
        <v>2961</v>
      </c>
      <c r="P9" s="5" t="str">
        <v>Supermercados MAS</v>
      </c>
      <c r="Q9" s="7">
        <f>IFERROR(_xlfn.XLOOKUP(P9,td!E:E,td!F:F),"")</f>
        <v>5830.4512204773928</v>
      </c>
      <c r="R9" s="5"/>
      <c r="S9" s="7"/>
    </row>
    <row r="10" spans="14:19" x14ac:dyDescent="0.3">
      <c r="N10" s="5" t="str">
        <v>Cordoba</v>
      </c>
      <c r="O10" s="7">
        <f>IFERROR(_xlfn.XLOOKUP(N10,td!A:A,td!B:B),"")</f>
        <v>7830.6781478140365</v>
      </c>
      <c r="S10" s="7"/>
    </row>
    <row r="11" spans="14:19" x14ac:dyDescent="0.3">
      <c r="N11" s="5" t="str">
        <v>Granada</v>
      </c>
      <c r="O11" s="7">
        <f>IFERROR(_xlfn.XLOOKUP(N11,td!A:A,td!B:B),"")</f>
        <v>3919</v>
      </c>
      <c r="S11" s="7"/>
    </row>
    <row r="12" spans="14:19" x14ac:dyDescent="0.3">
      <c r="N12" s="5" t="str">
        <v>Huelva</v>
      </c>
      <c r="O12" s="7">
        <f>IFERROR(_xlfn.XLOOKUP(N12,td!A:A,td!B:B),"")</f>
        <v>7607.5919471122334</v>
      </c>
      <c r="S12" s="7"/>
    </row>
    <row r="13" spans="14:19" x14ac:dyDescent="0.3">
      <c r="N13" s="5" t="str">
        <v>Jaen</v>
      </c>
      <c r="O13" s="7">
        <f>IFERROR(_xlfn.XLOOKUP(N13,td!A:A,td!B:B),"")</f>
        <v>6313.764646664612</v>
      </c>
      <c r="S13" s="7"/>
    </row>
    <row r="14" spans="14:19" x14ac:dyDescent="0.3">
      <c r="N14" s="5" t="str">
        <v>Leon</v>
      </c>
      <c r="O14" s="7">
        <f>IFERROR(_xlfn.XLOOKUP(N14,td!A:A,td!B:B),"")</f>
        <v>2751</v>
      </c>
      <c r="S14" s="7"/>
    </row>
    <row r="15" spans="14:19" x14ac:dyDescent="0.3">
      <c r="N15" s="5" t="str">
        <v>Lerida</v>
      </c>
      <c r="O15" s="7">
        <f>IFERROR(_xlfn.XLOOKUP(N15,td!A:A,td!B:B),"")</f>
        <v>2809</v>
      </c>
    </row>
    <row r="16" spans="14:19" x14ac:dyDescent="0.3">
      <c r="N16" s="5" t="str">
        <v>Madrid</v>
      </c>
      <c r="O16" s="7">
        <f>IFERROR(_xlfn.XLOOKUP(N16,td!A:A,td!B:B),"")</f>
        <v>3064</v>
      </c>
    </row>
    <row r="17" spans="14:15" x14ac:dyDescent="0.3">
      <c r="N17" s="5" t="str">
        <v>Malaga</v>
      </c>
      <c r="O17" s="7">
        <f>IFERROR(_xlfn.XLOOKUP(N17,td!A:A,td!B:B),"")</f>
        <v>904.61914610208396</v>
      </c>
    </row>
    <row r="18" spans="14:15" x14ac:dyDescent="0.3">
      <c r="N18" s="5" t="str">
        <v>Murcia</v>
      </c>
      <c r="O18" s="7">
        <f>IFERROR(_xlfn.XLOOKUP(N18,td!A:A,td!B:B),"")</f>
        <v>3236</v>
      </c>
    </row>
    <row r="19" spans="14:15" x14ac:dyDescent="0.3">
      <c r="N19" s="5" t="str">
        <v>Sevilla</v>
      </c>
      <c r="O19" s="7">
        <f>IFERROR(_xlfn.XLOOKUP(N19,td!A:A,td!B:B),"")</f>
        <v>10760.359354358216</v>
      </c>
    </row>
    <row r="20" spans="14:15" x14ac:dyDescent="0.3">
      <c r="N20" s="5" t="str">
        <v>Tarragona</v>
      </c>
      <c r="O20" s="7">
        <f>IFERROR(_xlfn.XLOOKUP(N20,td!A:A,td!B:B),"")</f>
        <v>2452</v>
      </c>
    </row>
    <row r="21" spans="14:15" x14ac:dyDescent="0.3">
      <c r="N21" s="5" t="str">
        <v>Toledo</v>
      </c>
      <c r="O21" s="7">
        <f>IFERROR(_xlfn.XLOOKUP(N21,td!A:A,td!B:B),"")</f>
        <v>3428</v>
      </c>
    </row>
    <row r="22" spans="14:15" x14ac:dyDescent="0.3">
      <c r="N22" s="5" t="str">
        <v>Valladolid</v>
      </c>
      <c r="O22" s="7">
        <f>IFERROR(_xlfn.XLOOKUP(N22,td!A:A,td!B:B),"")</f>
        <v>3275</v>
      </c>
    </row>
    <row r="23" spans="14:15" x14ac:dyDescent="0.3">
      <c r="N23" s="5" t="str">
        <v>Zaragoza</v>
      </c>
      <c r="O23" s="7">
        <f>IFERROR(_xlfn.XLOOKUP(N23,td!A:A,td!B:B),"")</f>
        <v>3425</v>
      </c>
    </row>
    <row r="24" spans="14:15" x14ac:dyDescent="0.3">
      <c r="N24" s="5" t="str">
        <v/>
      </c>
      <c r="O24" s="5"/>
    </row>
    <row r="25" spans="14:15" x14ac:dyDescent="0.3">
      <c r="N25" s="5" t="str">
        <v/>
      </c>
      <c r="O25" s="5"/>
    </row>
    <row r="26" spans="14:15" x14ac:dyDescent="0.3">
      <c r="N26" s="5" t="str">
        <v/>
      </c>
      <c r="O26" s="5"/>
    </row>
    <row r="27" spans="14:15" x14ac:dyDescent="0.3">
      <c r="N27" s="5" t="str">
        <v/>
      </c>
      <c r="O27" s="5"/>
    </row>
    <row r="28" spans="14:15" x14ac:dyDescent="0.3">
      <c r="N28" t="str">
        <v/>
      </c>
    </row>
    <row r="29" spans="14:15" x14ac:dyDescent="0.3">
      <c r="N29" t="str">
        <v/>
      </c>
    </row>
    <row r="30" spans="14:15" x14ac:dyDescent="0.3">
      <c r="N30" t="str">
        <v/>
      </c>
    </row>
    <row r="31" spans="14:15" x14ac:dyDescent="0.3">
      <c r="N31" t="str">
        <v/>
      </c>
    </row>
    <row r="32" spans="14:15" x14ac:dyDescent="0.3">
      <c r="N32" t="str">
        <v/>
      </c>
    </row>
    <row r="33" spans="14:14" x14ac:dyDescent="0.3">
      <c r="N33" t="str">
        <v/>
      </c>
    </row>
    <row r="34" spans="14:14" x14ac:dyDescent="0.3">
      <c r="N34" t="str">
        <v/>
      </c>
    </row>
    <row r="35" spans="14:14" x14ac:dyDescent="0.3">
      <c r="N35" t="str">
        <v/>
      </c>
    </row>
    <row r="36" spans="14:14" x14ac:dyDescent="0.3">
      <c r="N36" t="str">
        <v/>
      </c>
    </row>
    <row r="37" spans="14:14" x14ac:dyDescent="0.3">
      <c r="N37" t="str">
        <v/>
      </c>
    </row>
    <row r="38" spans="14:14" x14ac:dyDescent="0.3">
      <c r="N38" t="str">
        <v/>
      </c>
    </row>
    <row r="39" spans="14:14" x14ac:dyDescent="0.3">
      <c r="N39" t="str">
        <v/>
      </c>
    </row>
    <row r="40" spans="14:14" x14ac:dyDescent="0.3">
      <c r="N40" t="str">
        <v/>
      </c>
    </row>
  </sheetData>
  <mergeCells count="2">
    <mergeCell ref="N3:O3"/>
    <mergeCell ref="P3:Q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0C9C0BC8-E79B-48CB-9522-63E6954BBFEC}">
  <ds:schemaRefs/>
</ds:datastoreItem>
</file>

<file path=customXml/itemProps2.xml><?xml version="1.0" encoding="utf-8"?>
<ds:datastoreItem xmlns:ds="http://schemas.openxmlformats.org/officeDocument/2006/customXml" ds:itemID="{46475366-C347-4B71-88D4-655C373A6821}">
  <ds:schemaRefs/>
</ds:datastoreItem>
</file>

<file path=customXml/itemProps3.xml><?xml version="1.0" encoding="utf-8"?>
<ds:datastoreItem xmlns:ds="http://schemas.openxmlformats.org/officeDocument/2006/customXml" ds:itemID="{4526F1D9-2BF7-4CFD-BC4A-0010F5C602D5}">
  <ds:schemaRefs/>
</ds:datastoreItem>
</file>

<file path=customXml/itemProps4.xml><?xml version="1.0" encoding="utf-8"?>
<ds:datastoreItem xmlns:ds="http://schemas.openxmlformats.org/officeDocument/2006/customXml" ds:itemID="{8FC7DC2B-D3F1-42B9-A198-3DBA66F95E41}">
  <ds:schemaRefs/>
</ds:datastoreItem>
</file>

<file path=customXml/itemProps5.xml><?xml version="1.0" encoding="utf-8"?>
<ds:datastoreItem xmlns:ds="http://schemas.openxmlformats.org/officeDocument/2006/customXml" ds:itemID="{EB3B7A9E-7726-4BD8-AF53-519350238FCA}">
  <ds:schemaRefs/>
</ds:datastoreItem>
</file>

<file path=customXml/itemProps6.xml><?xml version="1.0" encoding="utf-8"?>
<ds:datastoreItem xmlns:ds="http://schemas.openxmlformats.org/officeDocument/2006/customXml" ds:itemID="{28288511-C29A-4A63-AC64-DCD49205A27E}">
  <ds:schemaRefs/>
</ds:datastoreItem>
</file>

<file path=customXml/itemProps7.xml><?xml version="1.0" encoding="utf-8"?>
<ds:datastoreItem xmlns:ds="http://schemas.openxmlformats.org/officeDocument/2006/customXml" ds:itemID="{FD58E19C-8890-4D70-972D-54761A8E707D}">
  <ds:schemaRefs/>
</ds:datastoreItem>
</file>

<file path=customXml/itemProps8.xml><?xml version="1.0" encoding="utf-8"?>
<ds:datastoreItem xmlns:ds="http://schemas.openxmlformats.org/officeDocument/2006/customXml" ds:itemID="{F77386B9-53FC-4F7B-8490-58A4AE69F66C}">
  <ds:schemaRefs/>
</ds:datastoreItem>
</file>

<file path=customXml/itemProps9.xml><?xml version="1.0" encoding="utf-8"?>
<ds:datastoreItem xmlns:ds="http://schemas.openxmlformats.org/officeDocument/2006/customXml" ds:itemID="{10C94196-F7B4-4F20-AE0D-661858EDADB9}">
  <ds:schemaRefs/>
</ds:datastoreItem>
</file>

<file path=customXml/itemProps10.xml><?xml version="1.0" encoding="utf-8"?>
<ds:datastoreItem xmlns:ds="http://schemas.openxmlformats.org/officeDocument/2006/customXml" ds:itemID="{190F2AB1-C51F-4A3E-93F0-ACBB86F795E3}">
  <ds:schemaRefs/>
</ds:datastoreItem>
</file>

<file path=customXml/itemProps11.xml><?xml version="1.0" encoding="utf-8"?>
<ds:datastoreItem xmlns:ds="http://schemas.openxmlformats.org/officeDocument/2006/customXml" ds:itemID="{CB9139B0-B220-4EA7-8721-9502281CA3FC}">
  <ds:schemaRefs/>
</ds:datastoreItem>
</file>

<file path=customXml/itemProps12.xml><?xml version="1.0" encoding="utf-8"?>
<ds:datastoreItem xmlns:ds="http://schemas.openxmlformats.org/officeDocument/2006/customXml" ds:itemID="{E1D6A2C6-D1B7-452A-B3CB-04198567F5B5}">
  <ds:schemaRefs/>
</ds:datastoreItem>
</file>

<file path=customXml/itemProps13.xml><?xml version="1.0" encoding="utf-8"?>
<ds:datastoreItem xmlns:ds="http://schemas.openxmlformats.org/officeDocument/2006/customXml" ds:itemID="{467E9F5E-E216-4C9E-87F0-6F0E234F2666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D9F114E2-5B97-49E2-9591-8EEB213C7DFF}">
  <ds:schemaRefs/>
</ds:datastoreItem>
</file>

<file path=customXml/itemProps15.xml><?xml version="1.0" encoding="utf-8"?>
<ds:datastoreItem xmlns:ds="http://schemas.openxmlformats.org/officeDocument/2006/customXml" ds:itemID="{36097203-2B47-42A1-9A37-30DF90F0E9FA}">
  <ds:schemaRefs/>
</ds:datastoreItem>
</file>

<file path=customXml/itemProps16.xml><?xml version="1.0" encoding="utf-8"?>
<ds:datastoreItem xmlns:ds="http://schemas.openxmlformats.org/officeDocument/2006/customXml" ds:itemID="{83184710-1B55-4603-8C1D-EEB808022F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ExampleTable</vt:lpstr>
      <vt:lpstr>DATOS</vt:lpstr>
      <vt:lpstr>ExampleTableforFilter</vt:lpstr>
      <vt:lpstr>td</vt:lpstr>
      <vt:lpstr>vinculada</vt:lpstr>
      <vt:lpstr>Cantidad</vt:lpstr>
      <vt:lpstr>Distribuidor</vt:lpstr>
      <vt:lpstr>Marca</vt:lpstr>
      <vt:lpstr>País</vt:lpstr>
      <vt:lpstr>Precio</vt:lpstr>
      <vt:lpstr>Ventas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Alerrandro Ferreira</cp:lastModifiedBy>
  <cp:revision/>
  <dcterms:created xsi:type="dcterms:W3CDTF">2016-02-01T04:41:02Z</dcterms:created>
  <dcterms:modified xsi:type="dcterms:W3CDTF">2026-08-24T16:15:20Z</dcterms:modified>
  <cp:category/>
  <cp:contentStatus/>
</cp:coreProperties>
</file>